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krishahiteshkumartandel/Desktop/"/>
    </mc:Choice>
  </mc:AlternateContent>
  <xr:revisionPtr revIDLastSave="0" documentId="8_{DD49FE70-6989-B547-AAFA-9891D32162B1}" xr6:coauthVersionLast="47" xr6:coauthVersionMax="47" xr10:uidLastSave="{00000000-0000-0000-0000-000000000000}"/>
  <bookViews>
    <workbookView xWindow="0" yWindow="680" windowWidth="34200" windowHeight="21460" activeTab="6" xr2:uid="{00000000-000D-0000-FFFF-FFFF00000000}"/>
  </bookViews>
  <sheets>
    <sheet name="Project Instructions" sheetId="1" r:id="rId1"/>
    <sheet name="regression" sheetId="5" r:id="rId2"/>
    <sheet name="sales statistics" sheetId="6" r:id="rId3"/>
    <sheet name="profit analysis" sheetId="8" r:id="rId4"/>
    <sheet name="Dataset" sheetId="2" r:id="rId5"/>
    <sheet name="customer analysis" sheetId="3" r:id="rId6"/>
    <sheet name="region analysis" sheetId="11" r:id="rId7"/>
    <sheet name="Sheet2" sheetId="4" r:id="rId8"/>
    <sheet name="timestamp" sheetId="9" r:id="rId9"/>
    <sheet name="monthly sales growth" sheetId="10" r:id="rId10"/>
  </sheets>
  <definedNames>
    <definedName name="_xlchart.v2.4" hidden="1">'region analysis'!$O$2:$O$5</definedName>
    <definedName name="_xlchart.v2.5" hidden="1">'region analysis'!$P$1</definedName>
    <definedName name="_xlchart.v2.6" hidden="1">'region analysis'!$P$2:$P$5</definedName>
    <definedName name="_xlchart.v5.0" hidden="1">'region analysis'!$O$1</definedName>
    <definedName name="_xlchart.v5.1" hidden="1">'region analysis'!$O$2:$O$5</definedName>
    <definedName name="_xlchart.v5.10" hidden="1">'region analysis'!$P$2:$P$5</definedName>
    <definedName name="_xlchart.v5.11" hidden="1">'region analysis'!$G$1</definedName>
    <definedName name="_xlchart.v5.12" hidden="1">'region analysis'!$G$2:$G$5</definedName>
    <definedName name="_xlchart.v5.13" hidden="1">'region analysis'!$H$1</definedName>
    <definedName name="_xlchart.v5.14" hidden="1">'region analysis'!$H$2:$H$5</definedName>
    <definedName name="_xlchart.v5.15" hidden="1">'region analysis'!$A$1</definedName>
    <definedName name="_xlchart.v5.16" hidden="1">'region analysis'!$A$2:$A$5</definedName>
    <definedName name="_xlchart.v5.17" hidden="1">'region analysis'!$B$1</definedName>
    <definedName name="_xlchart.v5.18" hidden="1">'region analysis'!$B$2:$B$5</definedName>
    <definedName name="_xlchart.v5.2" hidden="1">'region analysis'!$P$1</definedName>
    <definedName name="_xlchart.v5.3" hidden="1">'region analysis'!$P$2:$P$5</definedName>
    <definedName name="_xlchart.v5.7" hidden="1">'region analysis'!$O$1</definedName>
    <definedName name="_xlchart.v5.8" hidden="1">'region analysis'!$O$2:$O$5</definedName>
    <definedName name="_xlchart.v5.9" hidden="1">'region analysis'!$P$1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11" l="1"/>
  <c r="P4" i="11"/>
  <c r="P3" i="11"/>
  <c r="P2" i="11"/>
  <c r="H5" i="11"/>
  <c r="H4" i="11"/>
  <c r="H3" i="11"/>
  <c r="H2" i="11"/>
  <c r="C3" i="11"/>
  <c r="C4" i="11"/>
  <c r="C5" i="11"/>
  <c r="C2" i="11"/>
  <c r="D3" i="11"/>
  <c r="D4" i="11"/>
  <c r="D5" i="11"/>
  <c r="D2" i="11"/>
  <c r="B3" i="11"/>
  <c r="B4" i="11"/>
  <c r="B5" i="11"/>
  <c r="B2" i="11"/>
  <c r="C4" i="10"/>
  <c r="C3" i="10"/>
  <c r="B4" i="10"/>
  <c r="B3" i="10"/>
  <c r="B2" i="10"/>
  <c r="A2" i="9"/>
  <c r="B3" i="4"/>
  <c r="B4" i="4"/>
  <c r="B5" i="4"/>
  <c r="B6" i="4"/>
  <c r="B7" i="4"/>
  <c r="B2" i="4"/>
  <c r="C3" i="4" a="1"/>
  <c r="C3" i="4" s="1"/>
  <c r="C4" i="4" a="1"/>
  <c r="C4" i="4" s="1"/>
  <c r="C5" i="4" a="1"/>
  <c r="C5" i="4" s="1"/>
  <c r="C6" i="4" a="1"/>
  <c r="C6" i="4" s="1"/>
  <c r="C7" i="4" a="1"/>
  <c r="C7" i="4" s="1"/>
  <c r="C2" i="4" a="1"/>
  <c r="C2" i="4" s="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2" i="3"/>
  <c r="G1" i="3" a="1"/>
  <c r="G1" i="3" s="1"/>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2" i="3"/>
  <c r="A2" i="3" a="1"/>
  <c r="A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<sst xmlns="http://schemas.openxmlformats.org/spreadsheetml/2006/main" count="897" uniqueCount="132">
  <si>
    <t>PR. 2 Analyzer</t>
  </si>
  <si>
    <t>Customer_ID</t>
  </si>
  <si>
    <t>Customer_Name</t>
  </si>
  <si>
    <t>Region</t>
  </si>
  <si>
    <t>Product_Category</t>
  </si>
  <si>
    <t>Sales</t>
  </si>
  <si>
    <t>Quantity</t>
  </si>
  <si>
    <t>Discount</t>
  </si>
  <si>
    <t>Order_Date</t>
  </si>
  <si>
    <t>Profit</t>
  </si>
  <si>
    <t>CUST019</t>
  </si>
  <si>
    <r>
      <rPr>
        <b/>
        <sz val="11"/>
        <color theme="1"/>
        <rFont val="Calibri"/>
        <family val="2"/>
      </rPr>
      <t xml:space="preserve">Topics:
</t>
    </r>
    <r>
      <rPr>
        <sz val="11"/>
        <color theme="1"/>
        <rFont val="Calibri"/>
        <family val="2"/>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family val="2"/>
      </rPr>
      <t>Main Tasks:</t>
    </r>
    <r>
      <rPr>
        <sz val="11"/>
        <color rgb="FF38761D"/>
        <rFont val="Calibri"/>
        <family val="2"/>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family val="2"/>
      </rPr>
      <t xml:space="preserve">
</t>
    </r>
    <r>
      <rPr>
        <b/>
        <sz val="11"/>
        <color theme="1"/>
        <rFont val="Calibri"/>
        <family val="2"/>
      </rPr>
      <t xml:space="preserve">Deliverable:
</t>
    </r>
    <r>
      <rPr>
        <sz val="11"/>
        <color theme="1"/>
        <rFont val="Calibri"/>
        <family val="2"/>
      </rPr>
      <t>Complete the given worksheet by applying the required formulas in respective sheets.</t>
    </r>
  </si>
  <si>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</si>
  <si>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</si>
  <si>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</si>
  <si>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</si>
  <si>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</si>
  <si>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</si>
  <si>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</si>
  <si>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</si>
  <si>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</si>
  <si>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</si>
  <si>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</si>
  <si>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</si>
  <si>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</si>
  <si>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</si>
  <si>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</si>
  <si>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</si>
  <si>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</si>
  <si>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</si>
  <si>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</si>
  <si>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</si>
  <si>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</si>
  <si>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</si>
  <si>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</si>
  <si>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</si>
  <si>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</si>
  <si>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</si>
  <si>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</si>
  <si>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</si>
  <si>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</si>
  <si>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</si>
  <si>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</si>
  <si>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</si>
  <si>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</si>
  <si>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</si>
  <si>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</si>
  <si>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</si>
  <si>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</si>
  <si>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</si>
  <si>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</si>
  <si>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</si>
  <si>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</si>
  <si>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</si>
  <si>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</si>
  <si>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</si>
  <si>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</si>
  <si>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</si>
  <si>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</si>
  <si>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</si>
  <si>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</si>
  <si>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</si>
  <si>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</si>
  <si>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</si>
  <si>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</si>
  <si>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</si>
  <si>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</si>
  <si>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</si>
  <si>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</si>
  <si>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</si>
  <si>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</si>
  <si>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</si>
  <si>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</si>
  <si>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</si>
  <si>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</si>
  <si>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</si>
  <si>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</si>
  <si>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</si>
  <si>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Customer_name</t>
  </si>
  <si>
    <t>Total purchase</t>
  </si>
  <si>
    <t>Rank</t>
  </si>
  <si>
    <t>Top 10 status</t>
  </si>
  <si>
    <t xml:space="preserve">Discount </t>
  </si>
  <si>
    <t>Total Sales</t>
  </si>
  <si>
    <t>Total 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</si>
  <si>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</si>
  <si>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</si>
  <si>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</si>
  <si>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</si>
  <si>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</si>
  <si>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</si>
  <si>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</si>
  <si>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</si>
  <si>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</si>
  <si>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</si>
  <si>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</si>
  <si>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</si>
  <si>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</si>
  <si>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</si>
  <si>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</si>
  <si>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</si>
  <si>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</si>
  <si>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</si>
  <si>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</si>
  <si>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</si>
  <si>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</si>
  <si>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</si>
  <si>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</si>
  <si>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</si>
  <si>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</si>
  <si>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</si>
  <si>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</si>
  <si>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</si>
  <si>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</si>
  <si>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</si>
  <si>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</si>
  <si>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</si>
  <si>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</si>
  <si>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</si>
  <si>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</si>
  <si>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</si>
  <si>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current dare and time</t>
  </si>
  <si>
    <t>month</t>
  </si>
  <si>
    <t>total sales</t>
  </si>
  <si>
    <t>growth%</t>
  </si>
  <si>
    <t>region</t>
  </si>
  <si>
    <t>total profit</t>
  </si>
  <si>
    <t>total quantity</t>
  </si>
  <si>
    <t>east</t>
  </si>
  <si>
    <t>north</t>
  </si>
  <si>
    <t>south</t>
  </si>
  <si>
    <t>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</si>
</sst>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dd\-mm\-yyyy\ hh:mm:ss\ AM/PM"/>
  </numFmts>
  <fonts count="9" x14ac:knownFonts="1">
    <font>
      <sz val="11"/>
      <color theme="1"/>
      <name val="Calibri"/>
      <scheme val="minor"/>
    </font>
    <font>
      <b/>
      <sz val="11"/>
      <color theme="1"/>
      <name val="Calibri"/>
      <family val="2"/>
      <scheme val="minor"/>
    </font>
    <font>
      <b/>
      <sz val="11"/>
      <color theme="1"/>
      <name val="Calibri"/>
      <family val="2"/>
    </font>
    <font>
      <sz val="11"/>
      <color theme="1"/>
      <name val="Calibri"/>
      <family val="2"/>
    </font>
    <font>
      <sz val="11"/>
      <color theme="1"/>
      <name val="Calibri"/>
      <family val="2"/>
      <scheme val="minor"/>
    </font>
    <font>
      <b/>
      <sz val="11"/>
      <color rgb="FF38761D"/>
      <name val="Calibri"/>
      <family val="2"/>
    </font>
    <font>
      <sz val="11"/>
      <color rgb="FF38761D"/>
      <name val="Calibri"/>
      <family val="2"/>
    </font>
    <font>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FFF2CC"/>
        <bgColor rgb="FFFFF2CC"/>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4" fontId="7" fillId="0" borderId="0" applyFont="0" applyFill="0" applyBorder="0" applyAlignment="0" applyProtection="0"/>
  </cellStyleXfs>
  <cellXfs count="18">
    <xf numFmtId="0" fontId="0" fillId="0" borderId="0" xfId="0"/>
    <xf numFmtId="0" fontId="1"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3" fillId="0" borderId="1" xfId="0" applyFont="1" applyBorder="1"/>
    <xf numFmtId="164" fontId="4" fillId="0" borderId="0" xfId="0" applyNumberFormat="1" applyFont="1"/>
    <xf numFmtId="0" fontId="4" fillId="0" borderId="0" xfId="0" applyFont="1" applyAlignment="1">
      <alignment horizontal="center" vertical="center"/>
    </xf>
    <xf numFmtId="0" fontId="4" fillId="0" borderId="0" xfId="0" applyFont="1" applyAlignment="1">
      <alignment horizontal="center"/>
    </xf>
    <xf numFmtId="0" fontId="0" fillId="0" borderId="0" xfId="0" applyAlignment="1">
      <alignment horizontal="center"/>
    </xf>
    <xf numFmtId="9" fontId="0" fillId="0" borderId="0" xfId="0" applyNumberFormat="1"/>
    <xf numFmtId="0" fontId="0" fillId="0" borderId="0" xfId="0" applyFill="1" applyBorder="1" applyAlignment="1"/>
    <xf numFmtId="0" fontId="0" fillId="0" borderId="2" xfId="0" applyFill="1" applyBorder="1" applyAlignment="1"/>
    <xf numFmtId="0" fontId="8" fillId="0" borderId="3" xfId="0" applyFont="1" applyFill="1" applyBorder="1" applyAlignment="1">
      <alignment horizontal="center"/>
    </xf>
    <xf numFmtId="0" fontId="8" fillId="0" borderId="3" xfId="0" applyFont="1" applyFill="1" applyBorder="1" applyAlignment="1">
      <alignment horizontal="centerContinuous"/>
    </xf>
    <xf numFmtId="165" fontId="0" fillId="0" borderId="0" xfId="0" applyNumberFormat="1"/>
    <xf numFmtId="14" fontId="0" fillId="0" borderId="0" xfId="0" applyNumberFormat="1"/>
    <xf numFmtId="10" fontId="0" fillId="0" borderId="0" xfId="1" applyNumberFormat="1"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'region analysis'!$B$1</c:f>
              <c:strCache>
                <c:ptCount val="1"/>
                <c:pt idx="0">
                  <c:v>total sales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analysis'!$A$2:$A$5</c:f>
              <c:strCache>
                <c:ptCount val="4"/>
                <c:pt idx="0">
                  <c:v>east</c:v>
                </c:pt>
                <c:pt idx="1">
                  <c:v>west</c:v>
                </c:pt>
                <c:pt idx="2">
                  <c:v>north</c:v>
                </c:pt>
                <c:pt idx="3">
                  <c:v>south</c:v>
                </c:pt>
              </c:strCache>
            </c:strRef>
          </c:cat>
          <c:val>
            <c:numRef>
              <c:f>'region analysis'!$B$2:$B$5</c:f>
              <c:numCache>
                <c:formatCode>General</c:formatCode>
                <c:ptCount val="4"/>
                <c:pt idx="0">
                  <c:v>32441.64</c:v>
                </c:pt>
                <c:pt idx="1">
                  <c:v>44083.58</c:v>
                </c:pt>
                <c:pt idx="2">
                  <c:v>34975.42</c:v>
                </c:pt>
                <c:pt idx="3">
                  <c:v>40248.79</c:v>
                </c:pt>
              </c:numCache>
            </c:numRef>
          </c:val>
          <c:extLst>
            <c:ext xmlns:c16="http://schemas.microsoft.com/office/drawing/2014/chart" uri="{C3380CC4-5D6E-409C-BE32-E72D297353CC}">
              <c16:uniqueId val="{00000000-8B09-BC42-A3DF-C209ED089149}"/>
            </c:ext>
          </c:extLst>
        </c:ser>
        <c:dLbls>
          <c:dLblPos val="inEnd"/>
          <c:showLegendKey val="0"/>
          <c:showVal val="1"/>
          <c:showCatName val="0"/>
          <c:showSerName val="0"/>
          <c:showPercent val="0"/>
          <c:showBubbleSize val="0"/>
        </c:dLbls>
        <c:gapWidth val="41"/>
        <c:axId val="1756979520"/>
        <c:axId val="1738689152"/>
      </c:barChart>
      <c:catAx>
        <c:axId val="175697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38689152"/>
        <c:crosses val="autoZero"/>
        <c:auto val="1"/>
        <c:lblAlgn val="ctr"/>
        <c:lblOffset val="100"/>
        <c:noMultiLvlLbl val="0"/>
      </c:catAx>
      <c:valAx>
        <c:axId val="1738689152"/>
        <c:scaling>
          <c:orientation val="minMax"/>
        </c:scaling>
        <c:delete val="1"/>
        <c:axPos val="l"/>
        <c:numFmt formatCode="General" sourceLinked="1"/>
        <c:majorTickMark val="none"/>
        <c:minorTickMark val="none"/>
        <c:tickLblPos val="nextTo"/>
        <c:crossAx val="1756979520"/>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GB"/>
              <a:t>total profit by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9.0680446194225717E-2"/>
          <c:y val="0.13189814814814815"/>
          <c:w val="0.86487510936132983"/>
          <c:h val="0.77187481773111699"/>
        </c:manualLayout>
      </c:layout>
      <c:barChart>
        <c:barDir val="col"/>
        <c:grouping val="clustered"/>
        <c:varyColors val="0"/>
        <c:ser>
          <c:idx val="0"/>
          <c:order val="0"/>
          <c:tx>
            <c:strRef>
              <c:f>'region analysis'!$H$1</c:f>
              <c:strCache>
                <c:ptCount val="1"/>
                <c:pt idx="0">
                  <c:v>total profit</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analysis'!$G$2:$G$5</c:f>
              <c:strCache>
                <c:ptCount val="4"/>
                <c:pt idx="0">
                  <c:v>east</c:v>
                </c:pt>
                <c:pt idx="1">
                  <c:v>west</c:v>
                </c:pt>
                <c:pt idx="2">
                  <c:v>north</c:v>
                </c:pt>
                <c:pt idx="3">
                  <c:v>south</c:v>
                </c:pt>
              </c:strCache>
            </c:strRef>
          </c:cat>
          <c:val>
            <c:numRef>
              <c:f>'region analysis'!$H$2:$H$5</c:f>
              <c:numCache>
                <c:formatCode>General</c:formatCode>
                <c:ptCount val="4"/>
                <c:pt idx="0">
                  <c:v>11638.589999999997</c:v>
                </c:pt>
                <c:pt idx="1">
                  <c:v>14985.830000000002</c:v>
                </c:pt>
                <c:pt idx="2">
                  <c:v>11902.279999999997</c:v>
                </c:pt>
                <c:pt idx="3">
                  <c:v>13691.910000000003</c:v>
                </c:pt>
              </c:numCache>
            </c:numRef>
          </c:val>
          <c:extLst>
            <c:ext xmlns:c16="http://schemas.microsoft.com/office/drawing/2014/chart" uri="{C3380CC4-5D6E-409C-BE32-E72D297353CC}">
              <c16:uniqueId val="{00000000-A3C3-9948-924B-5A5A9978CBE5}"/>
            </c:ext>
          </c:extLst>
        </c:ser>
        <c:dLbls>
          <c:dLblPos val="inEnd"/>
          <c:showLegendKey val="0"/>
          <c:showVal val="1"/>
          <c:showCatName val="0"/>
          <c:showSerName val="0"/>
          <c:showPercent val="0"/>
          <c:showBubbleSize val="0"/>
        </c:dLbls>
        <c:gapWidth val="41"/>
        <c:axId val="1752402112"/>
        <c:axId val="1752408832"/>
      </c:barChart>
      <c:catAx>
        <c:axId val="1752402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52408832"/>
        <c:crosses val="autoZero"/>
        <c:auto val="1"/>
        <c:lblAlgn val="ctr"/>
        <c:lblOffset val="100"/>
        <c:noMultiLvlLbl val="0"/>
      </c:catAx>
      <c:valAx>
        <c:axId val="1752408832"/>
        <c:scaling>
          <c:orientation val="minMax"/>
        </c:scaling>
        <c:delete val="1"/>
        <c:axPos val="l"/>
        <c:numFmt formatCode="General" sourceLinked="1"/>
        <c:majorTickMark val="none"/>
        <c:minorTickMark val="none"/>
        <c:tickLblPos val="nextTo"/>
        <c:crossAx val="175240211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quantity by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'region analysis'!$P$1</c:f>
              <c:strCache>
                <c:ptCount val="1"/>
                <c:pt idx="0">
                  <c:v>total quantity</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 analysis'!$O$2:$O$5</c:f>
              <c:strCache>
                <c:ptCount val="4"/>
                <c:pt idx="0">
                  <c:v>east</c:v>
                </c:pt>
                <c:pt idx="1">
                  <c:v>west</c:v>
                </c:pt>
                <c:pt idx="2">
                  <c:v>north</c:v>
                </c:pt>
                <c:pt idx="3">
                  <c:v>south</c:v>
                </c:pt>
              </c:strCache>
            </c:strRef>
          </c:cat>
          <c:val>
            <c:numRef>
              <c:f>'region analysis'!$P$2:$P$5</c:f>
              <c:numCache>
                <c:formatCode>General</c:formatCode>
                <c:ptCount val="4"/>
                <c:pt idx="0">
                  <c:v>374</c:v>
                </c:pt>
                <c:pt idx="1">
                  <c:v>458</c:v>
                </c:pt>
                <c:pt idx="2">
                  <c:v>383</c:v>
                </c:pt>
                <c:pt idx="3">
                  <c:v>374</c:v>
                </c:pt>
              </c:numCache>
            </c:numRef>
          </c:val>
          <c:extLst>
            <c:ext xmlns:c16="http://schemas.microsoft.com/office/drawing/2014/chart" uri="{C3380CC4-5D6E-409C-BE32-E72D297353CC}">
              <c16:uniqueId val="{00000000-C27D-434F-97E4-3E8141716532}"/>
            </c:ext>
          </c:extLst>
        </c:ser>
        <c:dLbls>
          <c:dLblPos val="inEnd"/>
          <c:showLegendKey val="0"/>
          <c:showVal val="1"/>
          <c:showCatName val="0"/>
          <c:showSerName val="0"/>
          <c:showPercent val="0"/>
          <c:showBubbleSize val="0"/>
        </c:dLbls>
        <c:gapWidth val="41"/>
        <c:axId val="1744431616"/>
        <c:axId val="1744423552"/>
      </c:barChart>
      <c:catAx>
        <c:axId val="1744431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44423552"/>
        <c:crosses val="autoZero"/>
        <c:auto val="1"/>
        <c:lblAlgn val="ctr"/>
        <c:lblOffset val="100"/>
        <c:noMultiLvlLbl val="0"/>
      </c:catAx>
      <c:valAx>
        <c:axId val="1744423552"/>
        <c:scaling>
          <c:orientation val="minMax"/>
        </c:scaling>
        <c:delete val="1"/>
        <c:axPos val="l"/>
        <c:numFmt formatCode="General" sourceLinked="1"/>
        <c:majorTickMark val="none"/>
        <c:minorTickMark val="none"/>
        <c:tickLblPos val="nextTo"/>
        <c:crossAx val="1744431616"/>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209550</xdr:colOff>
      <xdr:row>12</xdr:row>
      <xdr:rowOff>31750</xdr:rowOff>
    </xdr:from>
    <xdr:to>
      <xdr:col>5</xdr:col>
      <xdr:colOff>514350</xdr:colOff>
      <xdr:row>26</xdr:row>
      <xdr:rowOff>107950</xdr:rowOff>
    </xdr:to>
    <xdr:graphicFrame macro="">
      <xdr:nvGraphicFramePr>
        <xdr:cNvPr id="2" name="Chart 1">
          <a:extLst>
            <a:ext uri="{FF2B5EF4-FFF2-40B4-BE49-F238E27FC236}">
              <a16:creationId xmlns:a16="http://schemas.microsoft.com/office/drawing/2014/main" id="{289B4ECC-9991-071E-8536-45263B06E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31750</xdr:colOff>
      <xdr:row>11</xdr:row>
      <xdr:rowOff>184150</xdr:rowOff>
    </xdr:from>
    <xdr:to>
      <xdr:col>11</xdr:col>
      <xdr:colOff>476250</xdr:colOff>
      <xdr:row>26</xdr:row>
      <xdr:rowOff>69850</xdr:rowOff>
    </xdr:to>
    <xdr:graphicFrame macro="">
      <xdr:nvGraphicFramePr>
        <xdr:cNvPr id="3" name="Chart 2">
          <a:extLst>
            <a:ext uri="{FF2B5EF4-FFF2-40B4-BE49-F238E27FC236}">
              <a16:creationId xmlns:a16="http://schemas.microsoft.com/office/drawing/2014/main" id="{81EB937D-7529-8280-8748-ED74A45E4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781050</xdr:colOff>
      <xdr:row>11</xdr:row>
      <xdr:rowOff>69850</xdr:rowOff>
    </xdr:from>
    <xdr:to>
      <xdr:col>18</xdr:col>
      <xdr:colOff>400050</xdr:colOff>
      <xdr:row>25</xdr:row>
      <xdr:rowOff>146050</xdr:rowOff>
    </xdr:to>
    <xdr:graphicFrame macro="">
      <xdr:nvGraphicFramePr>
        <xdr:cNvPr id="4" name="Chart 3">
          <a:extLst>
            <a:ext uri="{FF2B5EF4-FFF2-40B4-BE49-F238E27FC236}">
              <a16:creationId xmlns:a16="http://schemas.microsoft.com/office/drawing/2014/main" id="{1CB865F3-8737-ABAC-7EC8-4DAAF8228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heetViews>
  <sheetFormatPr baseColWidth="10" defaultColWidth="14.5" defaultRowHeight="15" customHeight="1" x14ac:dyDescent="0.2"/>
  <cols>
    <col min="1" max="1" width="74.83203125" customWidth="1"/>
    <col min="2" max="26" width="8.6640625" customWidth="1"/>
  </cols>
  <sheetData>
    <row r="1" spans="1:26" x14ac:dyDescent="0.2">
      <c r="A1" s="2" t="s">
        <v>0</v>
      </c>
      <c r="B1" s="3"/>
      <c r="C1" s="3"/>
      <c r="D1" s="3"/>
      <c r="E1" s="3"/>
      <c r="F1" s="3"/>
      <c r="G1" s="3"/>
      <c r="H1" s="3"/>
      <c r="I1" s="3"/>
      <c r="J1" s="3"/>
      <c r="K1" s="3"/>
      <c r="L1" s="3"/>
      <c r="M1" s="3"/>
      <c r="N1" s="3"/>
      <c r="O1" s="3"/>
      <c r="P1" s="3"/>
      <c r="Q1" s="3"/>
      <c r="R1" s="3"/>
      <c r="S1" s="3"/>
      <c r="T1" s="3"/>
      <c r="U1" s="3"/>
      <c r="V1" s="3"/>
      <c r="W1" s="3"/>
      <c r="X1" s="3"/>
      <c r="Y1" s="3"/>
      <c r="Z1" s="3"/>
    </row>
    <row r="2" spans="1:26" x14ac:dyDescent="0.2">
      <c r="A2" s="5" t="s">
        <v>11</v>
      </c>
      <c r="B2" s="3"/>
      <c r="C2" s="3"/>
      <c r="D2" s="3"/>
      <c r="E2" s="3"/>
      <c r="F2" s="3"/>
      <c r="G2" s="3"/>
      <c r="H2" s="3"/>
      <c r="I2" s="3"/>
      <c r="J2" s="3"/>
      <c r="K2" s="3"/>
      <c r="L2" s="3"/>
      <c r="M2" s="3"/>
      <c r="N2" s="3"/>
      <c r="O2" s="3"/>
      <c r="P2" s="3"/>
      <c r="Q2" s="3"/>
      <c r="R2" s="3"/>
      <c r="S2" s="3"/>
      <c r="T2" s="3"/>
      <c r="U2" s="3"/>
      <c r="V2" s="3"/>
      <c r="W2" s="3"/>
      <c r="X2" s="3"/>
      <c r="Y2" s="3"/>
      <c r="Z2" s="3"/>
    </row>
    <row r="3" spans="1:26" x14ac:dyDescent="0.2">
      <c r="A3" s="3"/>
      <c r="B3" s="3"/>
      <c r="C3" s="3"/>
      <c r="D3" s="3"/>
      <c r="E3" s="3"/>
      <c r="F3" s="3"/>
      <c r="G3" s="3"/>
      <c r="H3" s="3"/>
      <c r="I3" s="3"/>
      <c r="J3" s="3"/>
      <c r="K3" s="3"/>
      <c r="L3" s="3"/>
      <c r="M3" s="3"/>
      <c r="N3" s="3"/>
      <c r="O3" s="3"/>
      <c r="P3" s="3"/>
      <c r="Q3" s="3"/>
      <c r="R3" s="3"/>
      <c r="S3" s="3"/>
      <c r="T3" s="3"/>
      <c r="U3" s="3"/>
      <c r="V3" s="3"/>
      <c r="W3" s="3"/>
      <c r="X3" s="3"/>
      <c r="Y3" s="3"/>
      <c r="Z3" s="3"/>
    </row>
    <row r="4" spans="1:26" ht="15.75" customHeight="1" x14ac:dyDescent="0.2">
      <c r="A4" s="3"/>
      <c r="B4" s="3"/>
      <c r="C4" s="3"/>
      <c r="D4" s="3"/>
      <c r="E4" s="3"/>
      <c r="F4" s="3"/>
      <c r="G4" s="3"/>
      <c r="H4" s="3"/>
      <c r="I4" s="3"/>
      <c r="J4" s="3"/>
      <c r="K4" s="3"/>
      <c r="L4" s="3"/>
      <c r="M4" s="3"/>
      <c r="N4" s="3"/>
      <c r="O4" s="3"/>
      <c r="P4" s="3"/>
      <c r="Q4" s="3"/>
      <c r="R4" s="3"/>
      <c r="S4" s="3"/>
      <c r="T4" s="3"/>
      <c r="U4" s="3"/>
      <c r="V4" s="3"/>
      <c r="W4" s="3"/>
      <c r="X4" s="3"/>
      <c r="Y4" s="3"/>
      <c r="Z4" s="3"/>
    </row>
    <row r="5" spans="1:26" ht="15.75" customHeight="1" x14ac:dyDescent="0.2">
      <c r="A5" s="3"/>
      <c r="B5" s="3"/>
      <c r="C5" s="3"/>
      <c r="D5" s="3"/>
      <c r="E5" s="3"/>
      <c r="F5" s="3"/>
      <c r="G5" s="3"/>
      <c r="H5" s="3"/>
      <c r="I5" s="3"/>
      <c r="J5" s="3"/>
      <c r="K5" s="3"/>
      <c r="L5" s="3"/>
      <c r="M5" s="3"/>
      <c r="N5" s="3"/>
      <c r="O5" s="3"/>
      <c r="P5" s="3"/>
      <c r="Q5" s="3"/>
      <c r="R5" s="3"/>
      <c r="S5" s="3"/>
      <c r="T5" s="3"/>
      <c r="U5" s="3"/>
      <c r="V5" s="3"/>
      <c r="W5" s="3"/>
      <c r="X5" s="3"/>
      <c r="Y5" s="3"/>
      <c r="Z5" s="3"/>
    </row>
    <row r="6" spans="1:26" ht="15.75" customHeight="1" x14ac:dyDescent="0.2">
      <c r="A6" s="3"/>
      <c r="B6" s="3"/>
      <c r="C6" s="3"/>
      <c r="D6" s="3"/>
      <c r="E6" s="3"/>
      <c r="F6" s="3"/>
      <c r="G6" s="3"/>
      <c r="H6" s="3"/>
      <c r="I6" s="3"/>
      <c r="J6" s="3"/>
      <c r="K6" s="3"/>
      <c r="L6" s="3"/>
      <c r="M6" s="3"/>
      <c r="N6" s="3"/>
      <c r="O6" s="3"/>
      <c r="P6" s="3"/>
      <c r="Q6" s="3"/>
      <c r="R6" s="3"/>
      <c r="S6" s="3"/>
      <c r="T6" s="3"/>
      <c r="U6" s="3"/>
      <c r="V6" s="3"/>
      <c r="W6" s="3"/>
      <c r="X6" s="3"/>
      <c r="Y6" s="3"/>
      <c r="Z6" s="3"/>
    </row>
    <row r="7" spans="1:26" ht="15.75" customHeight="1" x14ac:dyDescent="0.2">
      <c r="A7" s="3"/>
      <c r="B7" s="3"/>
      <c r="C7" s="3"/>
      <c r="D7" s="3"/>
      <c r="E7" s="3"/>
      <c r="F7" s="3"/>
      <c r="G7" s="3"/>
      <c r="H7" s="3"/>
      <c r="I7" s="3"/>
      <c r="J7" s="3"/>
      <c r="K7" s="3"/>
      <c r="L7" s="3"/>
      <c r="M7" s="3"/>
      <c r="N7" s="3"/>
      <c r="O7" s="3"/>
      <c r="P7" s="3"/>
      <c r="Q7" s="3"/>
      <c r="R7" s="3"/>
      <c r="S7" s="3"/>
      <c r="T7" s="3"/>
      <c r="U7" s="3"/>
      <c r="V7" s="3"/>
      <c r="W7" s="3"/>
      <c r="X7" s="3"/>
      <c r="Y7" s="3"/>
      <c r="Z7" s="3"/>
    </row>
    <row r="8" spans="1:26" ht="15.75" customHeight="1" x14ac:dyDescent="0.2">
      <c r="A8" s="3"/>
      <c r="B8" s="3"/>
      <c r="C8" s="3"/>
      <c r="D8" s="3"/>
      <c r="E8" s="3"/>
      <c r="F8" s="3"/>
      <c r="G8" s="3"/>
      <c r="H8" s="3"/>
      <c r="I8" s="3"/>
      <c r="J8" s="3"/>
      <c r="K8" s="3"/>
      <c r="L8" s="3"/>
      <c r="M8" s="3"/>
      <c r="N8" s="3"/>
      <c r="O8" s="3"/>
      <c r="P8" s="3"/>
      <c r="Q8" s="3"/>
      <c r="R8" s="3"/>
      <c r="S8" s="3"/>
      <c r="T8" s="3"/>
      <c r="U8" s="3"/>
      <c r="V8" s="3"/>
      <c r="W8" s="3"/>
      <c r="X8" s="3"/>
      <c r="Y8" s="3"/>
      <c r="Z8" s="3"/>
    </row>
    <row r="9" spans="1:26" ht="15.75" customHeight="1" x14ac:dyDescent="0.2">
      <c r="A9" s="3"/>
      <c r="B9" s="3"/>
      <c r="C9" s="3"/>
      <c r="D9" s="3"/>
      <c r="E9" s="3"/>
      <c r="F9" s="3"/>
      <c r="G9" s="3"/>
      <c r="H9" s="3"/>
      <c r="I9" s="3"/>
      <c r="J9" s="3"/>
      <c r="K9" s="3"/>
      <c r="L9" s="3"/>
      <c r="M9" s="3"/>
      <c r="N9" s="3"/>
      <c r="O9" s="3"/>
      <c r="P9" s="3"/>
      <c r="Q9" s="3"/>
      <c r="R9" s="3"/>
      <c r="S9" s="3"/>
      <c r="T9" s="3"/>
      <c r="U9" s="3"/>
      <c r="V9" s="3"/>
      <c r="W9" s="3"/>
      <c r="X9" s="3"/>
      <c r="Y9" s="3"/>
      <c r="Z9" s="3"/>
    </row>
    <row r="10" spans="1:26" ht="15.75" customHeight="1" x14ac:dyDescent="0.2">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2">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2">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2">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2">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2">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2">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2">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2">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2">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row r="926" spans="1:26" ht="15.75" customHeight="1" x14ac:dyDescent="0.2"/>
    <row r="927" spans="1:26" ht="15.75" customHeight="1" x14ac:dyDescent="0.2"/>
    <row r="928" spans="1:26"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A8A3-E34D-B449-B90E-BBB1AC1237B8}">
  <dimension ref="A1:I18"/>
  <sheetViews>
    <sheetView workbookViewId="0">
      <selection sqref="A1:I21"/>
    </sheetView>
  </sheetViews>
  <sheetFormatPr baseColWidth="10" defaultRowHeight="15" x14ac:dyDescent="0.2"/>
  <sheetData>
    <row r="1" spans="1:9" x14ac:dyDescent="0.2">
      <c r="A1" t="s">
        <v>85</v>
      </c>
    </row>
    <row r="2" spans="1:9" ht="16" thickBot="1" x14ac:dyDescent="0.25"/>
    <row r="3" spans="1:9" x14ac:dyDescent="0.2">
      <c r="A3" s="14" t="s">
        <v>86</v>
      </c>
      <c r="B3" s="14"/>
    </row>
    <row r="4" spans="1:9" x14ac:dyDescent="0.2">
      <c r="A4" s="11" t="s">
        <v>87</v>
      </c>
      <c r="B4" s="11">
        <v>0.77340306414342619</v>
      </c>
    </row>
    <row r="5" spans="1:9" x14ac:dyDescent="0.2">
      <c r="A5" s="11" t="s">
        <v>88</v>
      </c>
      <c r="B5" s="11">
        <v>0.59815229962644056</v>
      </c>
    </row>
    <row r="6" spans="1:9" x14ac:dyDescent="0.2">
      <c r="A6" s="11" t="s">
        <v>89</v>
      </c>
      <c r="B6" s="11">
        <v>0.59612276578617007</v>
      </c>
    </row>
    <row r="7" spans="1:9" x14ac:dyDescent="0.2">
      <c r="A7" s="11" t="s">
        <v>90</v>
      </c>
      <c r="B7" s="11">
        <v>86.281230529665166</v>
      </c>
    </row>
    <row r="8" spans="1:9" ht="16" thickBot="1" x14ac:dyDescent="0.25">
      <c r="A8" s="12" t="s">
        <v>91</v>
      </c>
      <c r="B8" s="12">
        <v>200</v>
      </c>
    </row>
    <row r="10" spans="1:9" ht="16" thickBot="1" x14ac:dyDescent="0.25">
      <c r="A10" t="s">
        <v>92</v>
      </c>
    </row>
    <row r="11" spans="1:9" x14ac:dyDescent="0.2">
      <c r="A11" s="13"/>
      <c r="B11" s="13" t="s">
        <v>97</v>
      </c>
      <c r="C11" s="13" t="s">
        <v>98</v>
      </c>
      <c r="D11" s="13" t="s">
        <v>99</v>
      </c>
      <c r="E11" s="13" t="s">
        <v>100</v>
      </c>
      <c r="F11" s="13" t="s">
        <v>101</v>
      </c>
    </row>
    <row r="12" spans="1:9" x14ac:dyDescent="0.2">
      <c r="A12" s="11" t="s">
        <v>93</v>
      </c>
      <c r="B12" s="11">
        <v>1</v>
      </c>
      <c r="C12" s="11">
        <v>2194058.1833402822</v>
      </c>
      <c r="D12" s="11">
        <v>2194058.1833402822</v>
      </c>
      <c r="E12" s="11">
        <v>294.72398427548114</v>
      </c>
      <c r="F12" s="11">
        <v>4.6269367558910499E-41</v>
      </c>
    </row>
    <row r="13" spans="1:9" x14ac:dyDescent="0.2">
      <c r="A13" s="11" t="s">
        <v>94</v>
      </c>
      <c r="B13" s="11">
        <v>198</v>
      </c>
      <c r="C13" s="11">
        <v>1474001.2468592182</v>
      </c>
      <c r="D13" s="11">
        <v>7444.4507417132236</v>
      </c>
      <c r="E13" s="11"/>
      <c r="F13" s="11"/>
    </row>
    <row r="14" spans="1:9" ht="16" thickBot="1" x14ac:dyDescent="0.25">
      <c r="A14" s="12" t="s">
        <v>95</v>
      </c>
      <c r="B14" s="12">
        <v>199</v>
      </c>
      <c r="C14" s="12">
        <v>3668059.4301995002</v>
      </c>
      <c r="D14" s="12"/>
      <c r="E14" s="12"/>
      <c r="F14" s="12"/>
    </row>
    <row r="15" spans="1:9" ht="16" thickBot="1" x14ac:dyDescent="0.25"/>
    <row r="16" spans="1:9" x14ac:dyDescent="0.2">
      <c r="A16" s="13"/>
      <c r="B16" s="13" t="s">
        <v>102</v>
      </c>
      <c r="C16" s="13" t="s">
        <v>90</v>
      </c>
      <c r="D16" s="13" t="s">
        <v>103</v>
      </c>
      <c r="E16" s="13" t="s">
        <v>104</v>
      </c>
      <c r="F16" s="13" t="s">
        <v>105</v>
      </c>
      <c r="G16" s="13" t="s">
        <v>106</v>
      </c>
      <c r="H16" s="13" t="s">
        <v>107</v>
      </c>
      <c r="I16" s="13" t="s">
        <v>108</v>
      </c>
    </row>
    <row r="17" spans="1:9" x14ac:dyDescent="0.2">
      <c r="A17" s="11" t="s">
        <v>96</v>
      </c>
      <c r="B17" s="11">
        <v>-1.0315504901911368</v>
      </c>
      <c r="C17" s="11">
        <v>20.860617005445505</v>
      </c>
      <c r="D17" s="11">
        <v>-4.9449663445805959E-2</v>
      </c>
      <c r="E17" s="11">
        <v>0.96061079696907459</v>
      </c>
      <c r="F17" s="11">
        <v>-42.169051823378965</v>
      </c>
      <c r="G17" s="11">
        <v>40.105950842996691</v>
      </c>
      <c r="H17" s="11">
        <v>-42.169051823378965</v>
      </c>
      <c r="I17" s="11">
        <v>40.105950842996691</v>
      </c>
    </row>
    <row r="18" spans="1:9" ht="16" thickBot="1" x14ac:dyDescent="0.25">
      <c r="A18" s="12" t="s">
        <v>5</v>
      </c>
      <c r="B18" s="12">
        <v>0.35085598819512254</v>
      </c>
      <c r="C18" s="12">
        <v>2.0437188630135626E-2</v>
      </c>
      <c r="D18" s="12">
        <v>17.167527028535048</v>
      </c>
      <c r="E18" s="12">
        <v>4.6269367558907868E-41</v>
      </c>
      <c r="F18" s="12">
        <v>0.31055349501865764</v>
      </c>
      <c r="G18" s="12">
        <v>0.39115848137158743</v>
      </c>
      <c r="H18" s="12">
        <v>0.31055349501865764</v>
      </c>
      <c r="I18" s="12">
        <v>0.39115848137158743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16F9-6090-8349-9B79-193995905D3E}">
  <dimension ref="A1:B15"/>
  <sheetViews>
    <sheetView workbookViewId="0">
      <selection sqref="A1:B15"/>
    </sheetView>
  </sheetViews>
  <sheetFormatPr baseColWidth="10" defaultRowHeight="15" x14ac:dyDescent="0.2"/>
  <sheetData>
    <row r="1" spans="1:2" x14ac:dyDescent="0.2">
      <c r="A1" s="14" t="s">
        <v>5</v>
      </c>
      <c r="B1" s="14"/>
    </row>
    <row r="2" spans="1:2" x14ac:dyDescent="0.2">
      <c r="A2" s="11"/>
      <c r="B2" s="11"/>
    </row>
    <row r="3" spans="1:2" x14ac:dyDescent="0.2">
      <c r="A3" s="11" t="s">
        <v>109</v>
      </c>
      <c r="B3" s="11">
        <v>976.08879999999965</v>
      </c>
    </row>
    <row r="4" spans="1:2" x14ac:dyDescent="0.2">
      <c r="A4" s="11" t="s">
        <v>90</v>
      </c>
      <c r="B4" s="11">
        <v>21.161850448978406</v>
      </c>
    </row>
    <row r="5" spans="1:2" x14ac:dyDescent="0.2">
      <c r="A5" s="11" t="s">
        <v>110</v>
      </c>
      <c r="B5" s="11">
        <v>976.72</v>
      </c>
    </row>
    <row r="6" spans="1:2" x14ac:dyDescent="0.2">
      <c r="A6" s="11" t="s">
        <v>111</v>
      </c>
      <c r="B6" s="11" t="e">
        <v>#N/A</v>
      </c>
    </row>
    <row r="7" spans="1:2" x14ac:dyDescent="0.2">
      <c r="A7" s="11" t="s">
        <v>112</v>
      </c>
      <c r="B7" s="11">
        <v>299.27375909856431</v>
      </c>
    </row>
    <row r="8" spans="1:2" x14ac:dyDescent="0.2">
      <c r="A8" s="11" t="s">
        <v>113</v>
      </c>
      <c r="B8" s="11">
        <v>89564.782884985514</v>
      </c>
    </row>
    <row r="9" spans="1:2" x14ac:dyDescent="0.2">
      <c r="A9" s="11" t="s">
        <v>114</v>
      </c>
      <c r="B9" s="11">
        <v>-8.8595231919740502E-2</v>
      </c>
    </row>
    <row r="10" spans="1:2" x14ac:dyDescent="0.2">
      <c r="A10" s="11" t="s">
        <v>115</v>
      </c>
      <c r="B10" s="11">
        <v>0.14685796564193557</v>
      </c>
    </row>
    <row r="11" spans="1:2" x14ac:dyDescent="0.2">
      <c r="A11" s="11" t="s">
        <v>116</v>
      </c>
      <c r="B11" s="11">
        <v>1665.15</v>
      </c>
    </row>
    <row r="12" spans="1:2" x14ac:dyDescent="0.2">
      <c r="A12" s="11" t="s">
        <v>117</v>
      </c>
      <c r="B12" s="11">
        <v>258.51</v>
      </c>
    </row>
    <row r="13" spans="1:2" x14ac:dyDescent="0.2">
      <c r="A13" s="11" t="s">
        <v>118</v>
      </c>
      <c r="B13" s="11">
        <v>1923.66</v>
      </c>
    </row>
    <row r="14" spans="1:2" x14ac:dyDescent="0.2">
      <c r="A14" s="11" t="s">
        <v>119</v>
      </c>
      <c r="B14" s="11">
        <v>195217.75999999992</v>
      </c>
    </row>
    <row r="15" spans="1:2" ht="16" thickBot="1" x14ac:dyDescent="0.25">
      <c r="A15" s="12" t="s">
        <v>120</v>
      </c>
      <c r="B15" s="12">
        <v>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DBDFB-DC05-D640-BAD5-358FB8B5C4DD}">
  <dimension ref="A1:B15"/>
  <sheetViews>
    <sheetView workbookViewId="0">
      <selection sqref="A1:B15"/>
    </sheetView>
  </sheetViews>
  <sheetFormatPr baseColWidth="10" defaultRowHeight="15" x14ac:dyDescent="0.2"/>
  <sheetData>
    <row r="1" spans="1:2" x14ac:dyDescent="0.2">
      <c r="A1" s="14" t="s">
        <v>9</v>
      </c>
      <c r="B1" s="14"/>
    </row>
    <row r="2" spans="1:2" x14ac:dyDescent="0.2">
      <c r="A2" s="11"/>
      <c r="B2" s="11"/>
    </row>
    <row r="3" spans="1:2" x14ac:dyDescent="0.2">
      <c r="A3" s="11" t="s">
        <v>109</v>
      </c>
      <c r="B3" s="11">
        <v>341.43505000000005</v>
      </c>
    </row>
    <row r="4" spans="1:2" x14ac:dyDescent="0.2">
      <c r="A4" s="11" t="s">
        <v>90</v>
      </c>
      <c r="B4" s="11">
        <v>9.6001196472332531</v>
      </c>
    </row>
    <row r="5" spans="1:2" x14ac:dyDescent="0.2">
      <c r="A5" s="11" t="s">
        <v>110</v>
      </c>
      <c r="B5" s="11">
        <v>332.255</v>
      </c>
    </row>
    <row r="6" spans="1:2" x14ac:dyDescent="0.2">
      <c r="A6" s="11" t="s">
        <v>111</v>
      </c>
      <c r="B6" s="11" t="e">
        <v>#N/A</v>
      </c>
    </row>
    <row r="7" spans="1:2" x14ac:dyDescent="0.2">
      <c r="A7" s="11" t="s">
        <v>112</v>
      </c>
      <c r="B7" s="11">
        <v>135.7661940552168</v>
      </c>
    </row>
    <row r="8" spans="1:2" x14ac:dyDescent="0.2">
      <c r="A8" s="11" t="s">
        <v>113</v>
      </c>
      <c r="B8" s="11">
        <v>18432.459448238787</v>
      </c>
    </row>
    <row r="9" spans="1:2" x14ac:dyDescent="0.2">
      <c r="A9" s="11" t="s">
        <v>114</v>
      </c>
      <c r="B9" s="11">
        <v>0.26450643813582442</v>
      </c>
    </row>
    <row r="10" spans="1:2" x14ac:dyDescent="0.2">
      <c r="A10" s="11" t="s">
        <v>115</v>
      </c>
      <c r="B10" s="11">
        <v>0.57339636063424715</v>
      </c>
    </row>
    <row r="11" spans="1:2" x14ac:dyDescent="0.2">
      <c r="A11" s="11" t="s">
        <v>116</v>
      </c>
      <c r="B11" s="11">
        <v>704.83</v>
      </c>
    </row>
    <row r="12" spans="1:2" x14ac:dyDescent="0.2">
      <c r="A12" s="11" t="s">
        <v>117</v>
      </c>
      <c r="B12" s="11">
        <v>64.63</v>
      </c>
    </row>
    <row r="13" spans="1:2" x14ac:dyDescent="0.2">
      <c r="A13" s="11" t="s">
        <v>118</v>
      </c>
      <c r="B13" s="11">
        <v>769.46</v>
      </c>
    </row>
    <row r="14" spans="1:2" x14ac:dyDescent="0.2">
      <c r="A14" s="11" t="s">
        <v>119</v>
      </c>
      <c r="B14" s="11">
        <v>68287.010000000009</v>
      </c>
    </row>
    <row r="15" spans="1:2" ht="16" thickBot="1" x14ac:dyDescent="0.25">
      <c r="A15" s="12" t="s">
        <v>120</v>
      </c>
      <c r="B15" s="12">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5" defaultRowHeight="15" customHeight="1" x14ac:dyDescent="0.2"/>
  <cols>
    <col min="1" max="1" width="12.5" customWidth="1"/>
    <col min="2" max="2" width="16.5" customWidth="1"/>
    <col min="3" max="3" width="7.33203125" customWidth="1"/>
    <col min="4" max="4" width="16.6640625" customWidth="1"/>
    <col min="5" max="5" width="8" customWidth="1"/>
    <col min="6" max="6" width="8.83203125" customWidth="1"/>
    <col min="7" max="7" width="8.6640625" customWidth="1"/>
    <col min="8" max="8" width="11.33203125" customWidth="1"/>
    <col min="9" max="9" width="7" customWidth="1"/>
    <col min="10" max="26" width="8.6640625" customWidth="1"/>
  </cols>
  <sheetData>
    <row r="1" spans="1:26" x14ac:dyDescent="0.2">
      <c r="A1" s="1" t="s">
        <v>1</v>
      </c>
      <c r="B1" s="1" t="s">
        <v>2</v>
      </c>
      <c r="C1" s="1" t="s">
        <v>3</v>
      </c>
      <c r="D1" s="1" t="s">
        <v>4</v>
      </c>
      <c r="E1" s="1" t="s">
        <v>5</v>
      </c>
      <c r="F1" s="1" t="s">
        <v>6</v>
      </c>
      <c r="G1" s="1" t="s">
        <v>7</v>
      </c>
      <c r="H1" s="1" t="s">
        <v>8</v>
      </c>
      <c r="I1" s="1" t="s">
        <v>9</v>
      </c>
      <c r="J1" s="1"/>
      <c r="K1" s="1"/>
      <c r="L1" s="1"/>
      <c r="M1" s="1"/>
      <c r="N1" s="1"/>
      <c r="O1" s="1"/>
      <c r="P1" s="1"/>
      <c r="Q1" s="1"/>
      <c r="R1" s="1"/>
      <c r="S1" s="1"/>
      <c r="T1" s="1"/>
      <c r="U1" s="1"/>
      <c r="V1" s="1"/>
      <c r="W1" s="1"/>
      <c r="X1" s="1"/>
      <c r="Y1" s="1"/>
      <c r="Z1" s="1"/>
    </row>
    <row r="2" spans="1:26" x14ac:dyDescent="0.2">
      <c r="A2" s="4" t="s">
        <v>10</v>
      </c>
      <c r="B2" s="4" t="s">
        <v>12</v>
      </c>
      <c r="C2" s="4" t="s">
        <v>13</v>
      </c>
      <c r="D2" s="4" t="s">
        <v>14</v>
      </c>
      <c r="E2" s="4">
        <v>1036.0899999999999</v>
      </c>
      <c r="F2" s="4">
        <v>4</v>
      </c>
      <c r="G2" s="4">
        <v>0.2</v>
      </c>
      <c r="H2" s="6">
        <v>45392</v>
      </c>
      <c r="I2" s="4">
        <v>331.55</v>
      </c>
    </row>
    <row r="3" spans="1:26" x14ac:dyDescent="0.2">
      <c r="A3" s="4" t="s">
        <v>15</v>
      </c>
      <c r="B3" s="4" t="s">
        <v>16</v>
      </c>
      <c r="C3" s="4" t="s">
        <v>13</v>
      </c>
      <c r="D3" s="4" t="s">
        <v>17</v>
      </c>
      <c r="E3" s="4">
        <v>1101.28</v>
      </c>
      <c r="F3" s="4">
        <v>3</v>
      </c>
      <c r="G3" s="4">
        <v>0.2</v>
      </c>
      <c r="H3" s="6">
        <v>45393</v>
      </c>
      <c r="I3" s="4">
        <v>440.51</v>
      </c>
    </row>
    <row r="4" spans="1:26" x14ac:dyDescent="0.2">
      <c r="A4" s="4" t="s">
        <v>18</v>
      </c>
      <c r="B4" s="4" t="s">
        <v>19</v>
      </c>
      <c r="C4" s="4" t="s">
        <v>20</v>
      </c>
      <c r="D4" s="4" t="s">
        <v>14</v>
      </c>
      <c r="E4" s="4">
        <v>713.34</v>
      </c>
      <c r="F4" s="4">
        <v>17</v>
      </c>
      <c r="G4" s="4">
        <v>0</v>
      </c>
      <c r="H4" s="6">
        <v>45396</v>
      </c>
      <c r="I4" s="4">
        <v>285.33999999999997</v>
      </c>
    </row>
    <row r="5" spans="1:26" x14ac:dyDescent="0.2">
      <c r="A5" s="4" t="s">
        <v>21</v>
      </c>
      <c r="B5" s="4" t="s">
        <v>16</v>
      </c>
      <c r="C5" s="4" t="s">
        <v>22</v>
      </c>
      <c r="D5" s="4" t="s">
        <v>23</v>
      </c>
      <c r="E5" s="4">
        <v>760.93</v>
      </c>
      <c r="F5" s="4">
        <v>4</v>
      </c>
      <c r="G5" s="4">
        <v>0.15</v>
      </c>
      <c r="H5" s="6">
        <v>45396</v>
      </c>
      <c r="I5" s="4">
        <v>161.69999999999999</v>
      </c>
    </row>
    <row r="6" spans="1:26" x14ac:dyDescent="0.2">
      <c r="A6" s="4" t="s">
        <v>24</v>
      </c>
      <c r="B6" s="4" t="s">
        <v>25</v>
      </c>
      <c r="C6" s="4" t="s">
        <v>26</v>
      </c>
      <c r="D6" s="4" t="s">
        <v>14</v>
      </c>
      <c r="E6" s="4">
        <v>847</v>
      </c>
      <c r="F6" s="4">
        <v>12</v>
      </c>
      <c r="G6" s="4">
        <v>0.2</v>
      </c>
      <c r="H6" s="6">
        <v>45397</v>
      </c>
      <c r="I6" s="4">
        <v>271.04000000000002</v>
      </c>
    </row>
    <row r="7" spans="1:26" x14ac:dyDescent="0.2">
      <c r="A7" s="4" t="s">
        <v>27</v>
      </c>
      <c r="B7" s="4" t="s">
        <v>28</v>
      </c>
      <c r="C7" s="4" t="s">
        <v>26</v>
      </c>
      <c r="D7" s="4" t="s">
        <v>29</v>
      </c>
      <c r="E7" s="4">
        <v>965.64</v>
      </c>
      <c r="F7" s="4">
        <v>8</v>
      </c>
      <c r="G7" s="4">
        <v>0.1</v>
      </c>
      <c r="H7" s="6">
        <v>45398</v>
      </c>
      <c r="I7" s="4">
        <v>304.18</v>
      </c>
    </row>
    <row r="8" spans="1:26" x14ac:dyDescent="0.2">
      <c r="A8" s="4" t="s">
        <v>30</v>
      </c>
      <c r="B8" s="4" t="s">
        <v>31</v>
      </c>
      <c r="C8" s="4" t="s">
        <v>13</v>
      </c>
      <c r="D8" s="4" t="s">
        <v>23</v>
      </c>
      <c r="E8" s="4">
        <v>1317.53</v>
      </c>
      <c r="F8" s="4">
        <v>12</v>
      </c>
      <c r="G8" s="4">
        <v>0.05</v>
      </c>
      <c r="H8" s="6">
        <v>45398</v>
      </c>
      <c r="I8" s="4">
        <v>312.91000000000003</v>
      </c>
    </row>
    <row r="9" spans="1:26" x14ac:dyDescent="0.2">
      <c r="A9" s="4" t="s">
        <v>32</v>
      </c>
      <c r="B9" s="4" t="s">
        <v>33</v>
      </c>
      <c r="C9" s="4" t="s">
        <v>20</v>
      </c>
      <c r="D9" s="4" t="s">
        <v>29</v>
      </c>
      <c r="E9" s="4">
        <v>1074.47</v>
      </c>
      <c r="F9" s="4">
        <v>6</v>
      </c>
      <c r="G9" s="4">
        <v>0.2</v>
      </c>
      <c r="H9" s="6">
        <v>45401</v>
      </c>
      <c r="I9" s="4">
        <v>300.85000000000002</v>
      </c>
    </row>
    <row r="10" spans="1:26" x14ac:dyDescent="0.2">
      <c r="A10" s="4" t="s">
        <v>34</v>
      </c>
      <c r="B10" s="4" t="s">
        <v>35</v>
      </c>
      <c r="C10" s="4" t="s">
        <v>36</v>
      </c>
      <c r="D10" s="4" t="s">
        <v>14</v>
      </c>
      <c r="E10" s="4">
        <v>501.54</v>
      </c>
      <c r="F10" s="4">
        <v>11</v>
      </c>
      <c r="G10" s="4">
        <v>0.05</v>
      </c>
      <c r="H10" s="6">
        <v>45401</v>
      </c>
      <c r="I10" s="4">
        <v>190.59</v>
      </c>
    </row>
    <row r="11" spans="1:26" x14ac:dyDescent="0.2">
      <c r="A11" s="4" t="s">
        <v>37</v>
      </c>
      <c r="B11" s="4" t="s">
        <v>38</v>
      </c>
      <c r="C11" s="4" t="s">
        <v>36</v>
      </c>
      <c r="D11" s="4" t="s">
        <v>17</v>
      </c>
      <c r="E11" s="4">
        <v>737.31</v>
      </c>
      <c r="F11" s="4">
        <v>2</v>
      </c>
      <c r="G11" s="4">
        <v>0.05</v>
      </c>
      <c r="H11" s="6">
        <v>45401</v>
      </c>
      <c r="I11" s="4">
        <v>350.22</v>
      </c>
    </row>
    <row r="12" spans="1:26" x14ac:dyDescent="0.2">
      <c r="A12" s="4" t="s">
        <v>39</v>
      </c>
      <c r="B12" s="4" t="s">
        <v>40</v>
      </c>
      <c r="C12" s="4" t="s">
        <v>13</v>
      </c>
      <c r="D12" s="4" t="s">
        <v>41</v>
      </c>
      <c r="E12" s="4">
        <v>1572.82</v>
      </c>
      <c r="F12" s="4">
        <v>6</v>
      </c>
      <c r="G12" s="4">
        <v>0.05</v>
      </c>
      <c r="H12" s="6">
        <v>45402</v>
      </c>
      <c r="I12" s="4">
        <v>672.38</v>
      </c>
    </row>
    <row r="13" spans="1:26" x14ac:dyDescent="0.2">
      <c r="A13" s="4" t="s">
        <v>39</v>
      </c>
      <c r="B13" s="4" t="s">
        <v>38</v>
      </c>
      <c r="C13" s="4" t="s">
        <v>36</v>
      </c>
      <c r="D13" s="4" t="s">
        <v>14</v>
      </c>
      <c r="E13" s="4">
        <v>1343.13</v>
      </c>
      <c r="F13" s="4">
        <v>14</v>
      </c>
      <c r="G13" s="4">
        <v>0.15</v>
      </c>
      <c r="H13" s="6">
        <v>45404</v>
      </c>
      <c r="I13" s="4">
        <v>456.66</v>
      </c>
    </row>
    <row r="14" spans="1:26" x14ac:dyDescent="0.2">
      <c r="A14" s="4" t="s">
        <v>27</v>
      </c>
      <c r="B14" s="4" t="s">
        <v>28</v>
      </c>
      <c r="C14" s="4" t="s">
        <v>36</v>
      </c>
      <c r="D14" s="4" t="s">
        <v>14</v>
      </c>
      <c r="E14" s="4">
        <v>1191.58</v>
      </c>
      <c r="F14" s="4">
        <v>14</v>
      </c>
      <c r="G14" s="4">
        <v>0.05</v>
      </c>
      <c r="H14" s="6">
        <v>45406</v>
      </c>
      <c r="I14" s="4">
        <v>452.8</v>
      </c>
    </row>
    <row r="15" spans="1:26" x14ac:dyDescent="0.2">
      <c r="A15" s="4" t="s">
        <v>42</v>
      </c>
      <c r="B15" s="4" t="s">
        <v>16</v>
      </c>
      <c r="C15" s="4" t="s">
        <v>13</v>
      </c>
      <c r="D15" s="4" t="s">
        <v>29</v>
      </c>
      <c r="E15" s="4">
        <v>822.28</v>
      </c>
      <c r="F15" s="4">
        <v>7</v>
      </c>
      <c r="G15" s="4">
        <v>0.05</v>
      </c>
      <c r="H15" s="6">
        <v>45406</v>
      </c>
      <c r="I15" s="4">
        <v>273.41000000000003</v>
      </c>
    </row>
    <row r="16" spans="1:26" x14ac:dyDescent="0.2">
      <c r="A16" s="4" t="s">
        <v>43</v>
      </c>
      <c r="B16" s="4" t="s">
        <v>44</v>
      </c>
      <c r="C16" s="4" t="s">
        <v>26</v>
      </c>
      <c r="D16" s="4" t="s">
        <v>29</v>
      </c>
      <c r="E16" s="4">
        <v>521.66999999999996</v>
      </c>
      <c r="F16" s="4">
        <v>15</v>
      </c>
      <c r="G16" s="4">
        <v>0.15</v>
      </c>
      <c r="H16" s="6">
        <v>45409</v>
      </c>
      <c r="I16" s="4">
        <v>155.19999999999999</v>
      </c>
    </row>
    <row r="17" spans="1:9" x14ac:dyDescent="0.2">
      <c r="A17" s="4" t="s">
        <v>21</v>
      </c>
      <c r="B17" s="4" t="s">
        <v>45</v>
      </c>
      <c r="C17" s="4" t="s">
        <v>22</v>
      </c>
      <c r="D17" s="4" t="s">
        <v>23</v>
      </c>
      <c r="E17" s="4">
        <v>1502.93</v>
      </c>
      <c r="F17" s="4">
        <v>14</v>
      </c>
      <c r="G17" s="4">
        <v>0.2</v>
      </c>
      <c r="H17" s="6">
        <v>45410</v>
      </c>
      <c r="I17" s="4">
        <v>300.58999999999997</v>
      </c>
    </row>
    <row r="18" spans="1:9" x14ac:dyDescent="0.2">
      <c r="A18" s="4" t="s">
        <v>46</v>
      </c>
      <c r="B18" s="4" t="s">
        <v>16</v>
      </c>
      <c r="C18" s="4" t="s">
        <v>22</v>
      </c>
      <c r="D18" s="4" t="s">
        <v>14</v>
      </c>
      <c r="E18" s="4">
        <v>877.58</v>
      </c>
      <c r="F18" s="4">
        <v>10</v>
      </c>
      <c r="G18" s="4">
        <v>0.15</v>
      </c>
      <c r="H18" s="6">
        <v>45411</v>
      </c>
      <c r="I18" s="4">
        <v>298.38</v>
      </c>
    </row>
    <row r="19" spans="1:9" x14ac:dyDescent="0.2">
      <c r="A19" s="4" t="s">
        <v>30</v>
      </c>
      <c r="B19" s="4" t="s">
        <v>47</v>
      </c>
      <c r="C19" s="4" t="s">
        <v>13</v>
      </c>
      <c r="D19" s="4" t="s">
        <v>14</v>
      </c>
      <c r="E19" s="4">
        <v>636.70000000000005</v>
      </c>
      <c r="F19" s="4">
        <v>4</v>
      </c>
      <c r="G19" s="4">
        <v>0.2</v>
      </c>
      <c r="H19" s="6">
        <v>45411</v>
      </c>
      <c r="I19" s="4">
        <v>203.74</v>
      </c>
    </row>
    <row r="20" spans="1:9" x14ac:dyDescent="0.2">
      <c r="A20" s="4" t="s">
        <v>48</v>
      </c>
      <c r="B20" s="4" t="s">
        <v>49</v>
      </c>
      <c r="C20" s="4" t="s">
        <v>13</v>
      </c>
      <c r="D20" s="4" t="s">
        <v>14</v>
      </c>
      <c r="E20" s="4">
        <v>1506.14</v>
      </c>
      <c r="F20" s="4">
        <v>13</v>
      </c>
      <c r="G20" s="4">
        <v>0.2</v>
      </c>
      <c r="H20" s="6">
        <v>45412</v>
      </c>
      <c r="I20" s="4">
        <v>481.96</v>
      </c>
    </row>
    <row r="21" spans="1:9" ht="15.75" customHeight="1" x14ac:dyDescent="0.2">
      <c r="A21" s="4" t="s">
        <v>32</v>
      </c>
      <c r="B21" s="4" t="s">
        <v>33</v>
      </c>
      <c r="C21" s="4" t="s">
        <v>36</v>
      </c>
      <c r="D21" s="4" t="s">
        <v>23</v>
      </c>
      <c r="E21" s="4">
        <v>645.02</v>
      </c>
      <c r="F21" s="4">
        <v>4</v>
      </c>
      <c r="G21" s="4">
        <v>0</v>
      </c>
      <c r="H21" s="6">
        <v>45414</v>
      </c>
      <c r="I21" s="4">
        <v>161.26</v>
      </c>
    </row>
    <row r="22" spans="1:9" ht="15.75" customHeight="1" x14ac:dyDescent="0.2">
      <c r="A22" s="4" t="s">
        <v>27</v>
      </c>
      <c r="B22" s="4" t="s">
        <v>50</v>
      </c>
      <c r="C22" s="4" t="s">
        <v>22</v>
      </c>
      <c r="D22" s="4" t="s">
        <v>17</v>
      </c>
      <c r="E22" s="4">
        <v>953.3</v>
      </c>
      <c r="F22" s="4">
        <v>11</v>
      </c>
      <c r="G22" s="4">
        <v>0</v>
      </c>
      <c r="H22" s="6">
        <v>45415</v>
      </c>
      <c r="I22" s="4">
        <v>476.65</v>
      </c>
    </row>
    <row r="23" spans="1:9" ht="15.75" customHeight="1" x14ac:dyDescent="0.2">
      <c r="A23" s="4" t="s">
        <v>51</v>
      </c>
      <c r="B23" s="4" t="s">
        <v>16</v>
      </c>
      <c r="C23" s="4" t="s">
        <v>26</v>
      </c>
      <c r="D23" s="4" t="s">
        <v>23</v>
      </c>
      <c r="E23" s="4">
        <v>388.56</v>
      </c>
      <c r="F23" s="4">
        <v>14</v>
      </c>
      <c r="G23" s="4">
        <v>0.15</v>
      </c>
      <c r="H23" s="6">
        <v>45416</v>
      </c>
      <c r="I23" s="4">
        <v>82.57</v>
      </c>
    </row>
    <row r="24" spans="1:9" ht="15.75" customHeight="1" x14ac:dyDescent="0.2">
      <c r="A24" s="4" t="s">
        <v>10</v>
      </c>
      <c r="B24" s="4" t="s">
        <v>33</v>
      </c>
      <c r="C24" s="4" t="s">
        <v>13</v>
      </c>
      <c r="D24" s="4" t="s">
        <v>14</v>
      </c>
      <c r="E24" s="4">
        <v>743.17</v>
      </c>
      <c r="F24" s="4">
        <v>9</v>
      </c>
      <c r="G24" s="4">
        <v>0</v>
      </c>
      <c r="H24" s="6">
        <v>45416</v>
      </c>
      <c r="I24" s="4">
        <v>297.27</v>
      </c>
    </row>
    <row r="25" spans="1:9" ht="15.75" customHeight="1" x14ac:dyDescent="0.2">
      <c r="A25" s="4" t="s">
        <v>42</v>
      </c>
      <c r="B25" s="4" t="s">
        <v>33</v>
      </c>
      <c r="C25" s="4" t="s">
        <v>36</v>
      </c>
      <c r="D25" s="4" t="s">
        <v>23</v>
      </c>
      <c r="E25" s="4">
        <v>706.37</v>
      </c>
      <c r="F25" s="4">
        <v>6</v>
      </c>
      <c r="G25" s="4">
        <v>0</v>
      </c>
      <c r="H25" s="6">
        <v>45416</v>
      </c>
      <c r="I25" s="4">
        <v>176.59</v>
      </c>
    </row>
    <row r="26" spans="1:9" ht="15.75" customHeight="1" x14ac:dyDescent="0.2">
      <c r="A26" s="4" t="s">
        <v>15</v>
      </c>
      <c r="B26" s="4" t="s">
        <v>33</v>
      </c>
      <c r="C26" s="4" t="s">
        <v>36</v>
      </c>
      <c r="D26" s="4" t="s">
        <v>41</v>
      </c>
      <c r="E26" s="4">
        <v>925.31</v>
      </c>
      <c r="F26" s="4">
        <v>8</v>
      </c>
      <c r="G26" s="4">
        <v>0.1</v>
      </c>
      <c r="H26" s="6">
        <v>45418</v>
      </c>
      <c r="I26" s="4">
        <v>374.75</v>
      </c>
    </row>
    <row r="27" spans="1:9" ht="15.75" customHeight="1" x14ac:dyDescent="0.2">
      <c r="A27" s="4" t="s">
        <v>37</v>
      </c>
      <c r="B27" s="4" t="s">
        <v>52</v>
      </c>
      <c r="C27" s="4" t="s">
        <v>22</v>
      </c>
      <c r="D27" s="4" t="s">
        <v>23</v>
      </c>
      <c r="E27" s="4">
        <v>1173.1199999999999</v>
      </c>
      <c r="F27" s="4">
        <v>18</v>
      </c>
      <c r="G27" s="4">
        <v>0</v>
      </c>
      <c r="H27" s="6">
        <v>45418</v>
      </c>
      <c r="I27" s="4">
        <v>293.27999999999997</v>
      </c>
    </row>
    <row r="28" spans="1:9" ht="15.75" customHeight="1" x14ac:dyDescent="0.2">
      <c r="A28" s="4" t="s">
        <v>24</v>
      </c>
      <c r="B28" s="4" t="s">
        <v>53</v>
      </c>
      <c r="C28" s="4" t="s">
        <v>26</v>
      </c>
      <c r="D28" s="4" t="s">
        <v>29</v>
      </c>
      <c r="E28" s="4">
        <v>675.54</v>
      </c>
      <c r="F28" s="4">
        <v>17</v>
      </c>
      <c r="G28" s="4">
        <v>0</v>
      </c>
      <c r="H28" s="6">
        <v>45420</v>
      </c>
      <c r="I28" s="4">
        <v>236.44</v>
      </c>
    </row>
    <row r="29" spans="1:9" ht="15.75" customHeight="1" x14ac:dyDescent="0.2">
      <c r="A29" s="4" t="s">
        <v>27</v>
      </c>
      <c r="B29" s="4" t="s">
        <v>16</v>
      </c>
      <c r="C29" s="4" t="s">
        <v>36</v>
      </c>
      <c r="D29" s="4" t="s">
        <v>14</v>
      </c>
      <c r="E29" s="4">
        <v>939.09</v>
      </c>
      <c r="F29" s="4">
        <v>2</v>
      </c>
      <c r="G29" s="4">
        <v>0.05</v>
      </c>
      <c r="H29" s="6">
        <v>45422</v>
      </c>
      <c r="I29" s="4">
        <v>356.85</v>
      </c>
    </row>
    <row r="30" spans="1:9" ht="15.75" customHeight="1" x14ac:dyDescent="0.2">
      <c r="A30" s="4" t="s">
        <v>54</v>
      </c>
      <c r="B30" s="4" t="s">
        <v>55</v>
      </c>
      <c r="C30" s="4" t="s">
        <v>20</v>
      </c>
      <c r="D30" s="4" t="s">
        <v>41</v>
      </c>
      <c r="E30" s="4">
        <v>983.34</v>
      </c>
      <c r="F30" s="4">
        <v>19</v>
      </c>
      <c r="G30" s="4">
        <v>0.1</v>
      </c>
      <c r="H30" s="6">
        <v>45426</v>
      </c>
      <c r="I30" s="4">
        <v>398.25</v>
      </c>
    </row>
    <row r="31" spans="1:9" ht="15.75" customHeight="1" x14ac:dyDescent="0.2">
      <c r="A31" s="4" t="s">
        <v>54</v>
      </c>
      <c r="B31" s="4" t="s">
        <v>25</v>
      </c>
      <c r="C31" s="4" t="s">
        <v>22</v>
      </c>
      <c r="D31" s="4" t="s">
        <v>23</v>
      </c>
      <c r="E31" s="4">
        <v>801.21</v>
      </c>
      <c r="F31" s="4">
        <v>3</v>
      </c>
      <c r="G31" s="4">
        <v>0.2</v>
      </c>
      <c r="H31" s="6">
        <v>45426</v>
      </c>
      <c r="I31" s="4">
        <v>160.24</v>
      </c>
    </row>
    <row r="32" spans="1:9" ht="15.75" customHeight="1" x14ac:dyDescent="0.2">
      <c r="A32" s="4" t="s">
        <v>56</v>
      </c>
      <c r="B32" s="4" t="s">
        <v>57</v>
      </c>
      <c r="C32" s="4" t="s">
        <v>26</v>
      </c>
      <c r="D32" s="4" t="s">
        <v>23</v>
      </c>
      <c r="E32" s="4">
        <v>1450.71</v>
      </c>
      <c r="F32" s="4">
        <v>5</v>
      </c>
      <c r="G32" s="4">
        <v>0.1</v>
      </c>
      <c r="H32" s="6">
        <v>45427</v>
      </c>
      <c r="I32" s="4">
        <v>326.41000000000003</v>
      </c>
    </row>
    <row r="33" spans="1:9" ht="15.75" customHeight="1" x14ac:dyDescent="0.2">
      <c r="A33" s="4" t="s">
        <v>51</v>
      </c>
      <c r="B33" s="4" t="s">
        <v>58</v>
      </c>
      <c r="C33" s="4" t="s">
        <v>36</v>
      </c>
      <c r="D33" s="4" t="s">
        <v>14</v>
      </c>
      <c r="E33" s="4">
        <v>1023.21</v>
      </c>
      <c r="F33" s="4">
        <v>18</v>
      </c>
      <c r="G33" s="4">
        <v>0.05</v>
      </c>
      <c r="H33" s="6">
        <v>45428</v>
      </c>
      <c r="I33" s="4">
        <v>388.82</v>
      </c>
    </row>
    <row r="34" spans="1:9" ht="15.75" customHeight="1" x14ac:dyDescent="0.2">
      <c r="A34" s="4" t="s">
        <v>30</v>
      </c>
      <c r="B34" s="4" t="s">
        <v>49</v>
      </c>
      <c r="C34" s="4" t="s">
        <v>13</v>
      </c>
      <c r="D34" s="4" t="s">
        <v>29</v>
      </c>
      <c r="E34" s="4">
        <v>853.72</v>
      </c>
      <c r="F34" s="4">
        <v>5</v>
      </c>
      <c r="G34" s="4">
        <v>0.15</v>
      </c>
      <c r="H34" s="6">
        <v>45428</v>
      </c>
      <c r="I34" s="4">
        <v>253.98</v>
      </c>
    </row>
    <row r="35" spans="1:9" ht="15.75" customHeight="1" x14ac:dyDescent="0.2">
      <c r="A35" s="4" t="s">
        <v>59</v>
      </c>
      <c r="B35" s="4" t="s">
        <v>45</v>
      </c>
      <c r="C35" s="4" t="s">
        <v>22</v>
      </c>
      <c r="D35" s="4" t="s">
        <v>23</v>
      </c>
      <c r="E35" s="4">
        <v>967.89</v>
      </c>
      <c r="F35" s="4">
        <v>10</v>
      </c>
      <c r="G35" s="4">
        <v>0.1</v>
      </c>
      <c r="H35" s="6">
        <v>45429</v>
      </c>
      <c r="I35" s="4">
        <v>217.78</v>
      </c>
    </row>
    <row r="36" spans="1:9" ht="15.75" customHeight="1" x14ac:dyDescent="0.2">
      <c r="A36" s="4" t="s">
        <v>60</v>
      </c>
      <c r="B36" s="4" t="s">
        <v>55</v>
      </c>
      <c r="C36" s="4" t="s">
        <v>26</v>
      </c>
      <c r="D36" s="4" t="s">
        <v>41</v>
      </c>
      <c r="E36" s="4">
        <v>1200.9000000000001</v>
      </c>
      <c r="F36" s="4">
        <v>14</v>
      </c>
      <c r="G36" s="4">
        <v>0.05</v>
      </c>
      <c r="H36" s="6">
        <v>45429</v>
      </c>
      <c r="I36" s="4">
        <v>513.38</v>
      </c>
    </row>
    <row r="37" spans="1:9" ht="15.75" customHeight="1" x14ac:dyDescent="0.2">
      <c r="A37" s="4" t="s">
        <v>15</v>
      </c>
      <c r="B37" s="4" t="s">
        <v>28</v>
      </c>
      <c r="C37" s="4" t="s">
        <v>13</v>
      </c>
      <c r="D37" s="4" t="s">
        <v>14</v>
      </c>
      <c r="E37" s="4">
        <v>472.38</v>
      </c>
      <c r="F37" s="4">
        <v>12</v>
      </c>
      <c r="G37" s="4">
        <v>0.2</v>
      </c>
      <c r="H37" s="6">
        <v>45429</v>
      </c>
      <c r="I37" s="4">
        <v>151.16</v>
      </c>
    </row>
    <row r="38" spans="1:9" ht="15.75" customHeight="1" x14ac:dyDescent="0.2">
      <c r="A38" s="4" t="s">
        <v>10</v>
      </c>
      <c r="B38" s="4" t="s">
        <v>57</v>
      </c>
      <c r="C38" s="4" t="s">
        <v>20</v>
      </c>
      <c r="D38" s="4" t="s">
        <v>41</v>
      </c>
      <c r="E38" s="4">
        <v>840.92</v>
      </c>
      <c r="F38" s="4">
        <v>9</v>
      </c>
      <c r="G38" s="4">
        <v>0.05</v>
      </c>
      <c r="H38" s="6">
        <v>45429</v>
      </c>
      <c r="I38" s="4">
        <v>359.49</v>
      </c>
    </row>
    <row r="39" spans="1:9" ht="15.75" customHeight="1" x14ac:dyDescent="0.2">
      <c r="A39" s="4" t="s">
        <v>54</v>
      </c>
      <c r="B39" s="4" t="s">
        <v>50</v>
      </c>
      <c r="C39" s="4" t="s">
        <v>36</v>
      </c>
      <c r="D39" s="4" t="s">
        <v>29</v>
      </c>
      <c r="E39" s="4">
        <v>1410.06</v>
      </c>
      <c r="F39" s="4">
        <v>11</v>
      </c>
      <c r="G39" s="4">
        <v>0.05</v>
      </c>
      <c r="H39" s="6">
        <v>45434</v>
      </c>
      <c r="I39" s="4">
        <v>468.84</v>
      </c>
    </row>
    <row r="40" spans="1:9" ht="15.75" customHeight="1" x14ac:dyDescent="0.2">
      <c r="A40" s="4" t="s">
        <v>46</v>
      </c>
      <c r="B40" s="4" t="s">
        <v>61</v>
      </c>
      <c r="C40" s="4" t="s">
        <v>36</v>
      </c>
      <c r="D40" s="4" t="s">
        <v>29</v>
      </c>
      <c r="E40" s="4">
        <v>773.09</v>
      </c>
      <c r="F40" s="4">
        <v>13</v>
      </c>
      <c r="G40" s="4">
        <v>0.15</v>
      </c>
      <c r="H40" s="6">
        <v>45434</v>
      </c>
      <c r="I40" s="4">
        <v>229.99</v>
      </c>
    </row>
    <row r="41" spans="1:9" ht="15.75" customHeight="1" x14ac:dyDescent="0.2">
      <c r="A41" s="4" t="s">
        <v>62</v>
      </c>
      <c r="B41" s="4" t="s">
        <v>63</v>
      </c>
      <c r="C41" s="4" t="s">
        <v>20</v>
      </c>
      <c r="D41" s="4" t="s">
        <v>14</v>
      </c>
      <c r="E41" s="4">
        <v>580.42999999999995</v>
      </c>
      <c r="F41" s="4">
        <v>19</v>
      </c>
      <c r="G41" s="4">
        <v>0.15</v>
      </c>
      <c r="H41" s="6">
        <v>45435</v>
      </c>
      <c r="I41" s="4">
        <v>197.35</v>
      </c>
    </row>
    <row r="42" spans="1:9" ht="15.75" customHeight="1" x14ac:dyDescent="0.2">
      <c r="A42" s="4" t="s">
        <v>21</v>
      </c>
      <c r="B42" s="4" t="s">
        <v>44</v>
      </c>
      <c r="C42" s="4" t="s">
        <v>22</v>
      </c>
      <c r="D42" s="4" t="s">
        <v>14</v>
      </c>
      <c r="E42" s="4">
        <v>1151.21</v>
      </c>
      <c r="F42" s="4">
        <v>15</v>
      </c>
      <c r="G42" s="4">
        <v>0.1</v>
      </c>
      <c r="H42" s="6">
        <v>45445</v>
      </c>
      <c r="I42" s="4">
        <v>414.44</v>
      </c>
    </row>
    <row r="43" spans="1:9" ht="15.75" customHeight="1" x14ac:dyDescent="0.2">
      <c r="A43" s="4" t="s">
        <v>54</v>
      </c>
      <c r="B43" s="4" t="s">
        <v>25</v>
      </c>
      <c r="C43" s="4" t="s">
        <v>36</v>
      </c>
      <c r="D43" s="4" t="s">
        <v>41</v>
      </c>
      <c r="E43" s="4">
        <v>1025.98</v>
      </c>
      <c r="F43" s="4">
        <v>5</v>
      </c>
      <c r="G43" s="4">
        <v>0.2</v>
      </c>
      <c r="H43" s="6">
        <v>45447</v>
      </c>
      <c r="I43" s="4">
        <v>369.35</v>
      </c>
    </row>
    <row r="44" spans="1:9" ht="15.75" customHeight="1" x14ac:dyDescent="0.2">
      <c r="A44" s="4" t="s">
        <v>42</v>
      </c>
      <c r="B44" s="4" t="s">
        <v>58</v>
      </c>
      <c r="C44" s="4" t="s">
        <v>20</v>
      </c>
      <c r="D44" s="4" t="s">
        <v>41</v>
      </c>
      <c r="E44" s="4">
        <v>556.41999999999996</v>
      </c>
      <c r="F44" s="4">
        <v>11</v>
      </c>
      <c r="G44" s="4">
        <v>0.15</v>
      </c>
      <c r="H44" s="6">
        <v>45447</v>
      </c>
      <c r="I44" s="4">
        <v>212.83</v>
      </c>
    </row>
    <row r="45" spans="1:9" ht="15.75" customHeight="1" x14ac:dyDescent="0.2">
      <c r="A45" s="4" t="s">
        <v>59</v>
      </c>
      <c r="B45" s="4" t="s">
        <v>25</v>
      </c>
      <c r="C45" s="4" t="s">
        <v>36</v>
      </c>
      <c r="D45" s="4" t="s">
        <v>14</v>
      </c>
      <c r="E45" s="4">
        <v>840.85</v>
      </c>
      <c r="F45" s="4">
        <v>19</v>
      </c>
      <c r="G45" s="4">
        <v>0.1</v>
      </c>
      <c r="H45" s="6">
        <v>45448</v>
      </c>
      <c r="I45" s="4">
        <v>302.70999999999998</v>
      </c>
    </row>
    <row r="46" spans="1:9" ht="15.75" customHeight="1" x14ac:dyDescent="0.2">
      <c r="A46" s="4" t="s">
        <v>32</v>
      </c>
      <c r="B46" s="4" t="s">
        <v>63</v>
      </c>
      <c r="C46" s="4" t="s">
        <v>26</v>
      </c>
      <c r="D46" s="4" t="s">
        <v>29</v>
      </c>
      <c r="E46" s="4">
        <v>1227.25</v>
      </c>
      <c r="F46" s="4">
        <v>12</v>
      </c>
      <c r="G46" s="4">
        <v>0.15</v>
      </c>
      <c r="H46" s="6">
        <v>45448</v>
      </c>
      <c r="I46" s="4">
        <v>365.11</v>
      </c>
    </row>
    <row r="47" spans="1:9" ht="15.75" customHeight="1" x14ac:dyDescent="0.2">
      <c r="A47" s="4" t="s">
        <v>18</v>
      </c>
      <c r="B47" s="4" t="s">
        <v>64</v>
      </c>
      <c r="C47" s="4" t="s">
        <v>36</v>
      </c>
      <c r="D47" s="4" t="s">
        <v>23</v>
      </c>
      <c r="E47" s="4">
        <v>856.7</v>
      </c>
      <c r="F47" s="4">
        <v>2</v>
      </c>
      <c r="G47" s="4">
        <v>0</v>
      </c>
      <c r="H47" s="6">
        <v>45449</v>
      </c>
      <c r="I47" s="4">
        <v>214.18</v>
      </c>
    </row>
    <row r="48" spans="1:9" ht="15.75" customHeight="1" x14ac:dyDescent="0.2">
      <c r="A48" s="4" t="s">
        <v>56</v>
      </c>
      <c r="B48" s="4" t="s">
        <v>58</v>
      </c>
      <c r="C48" s="4" t="s">
        <v>36</v>
      </c>
      <c r="D48" s="4" t="s">
        <v>41</v>
      </c>
      <c r="E48" s="4">
        <v>1225.42</v>
      </c>
      <c r="F48" s="4">
        <v>8</v>
      </c>
      <c r="G48" s="4">
        <v>0.15</v>
      </c>
      <c r="H48" s="6">
        <v>45449</v>
      </c>
      <c r="I48" s="4">
        <v>468.72</v>
      </c>
    </row>
    <row r="49" spans="1:9" ht="15.75" customHeight="1" x14ac:dyDescent="0.2">
      <c r="A49" s="4" t="s">
        <v>65</v>
      </c>
      <c r="B49" s="4" t="s">
        <v>33</v>
      </c>
      <c r="C49" s="4" t="s">
        <v>26</v>
      </c>
      <c r="D49" s="4" t="s">
        <v>41</v>
      </c>
      <c r="E49" s="4">
        <v>1001.57</v>
      </c>
      <c r="F49" s="4">
        <v>12</v>
      </c>
      <c r="G49" s="4">
        <v>0</v>
      </c>
      <c r="H49" s="6">
        <v>45450</v>
      </c>
      <c r="I49" s="4">
        <v>450.71</v>
      </c>
    </row>
    <row r="50" spans="1:9" ht="15.75" customHeight="1" x14ac:dyDescent="0.2">
      <c r="A50" s="4" t="s">
        <v>59</v>
      </c>
      <c r="B50" s="4" t="s">
        <v>28</v>
      </c>
      <c r="C50" s="4" t="s">
        <v>20</v>
      </c>
      <c r="D50" s="4" t="s">
        <v>29</v>
      </c>
      <c r="E50" s="4">
        <v>1186.8499999999999</v>
      </c>
      <c r="F50" s="4">
        <v>19</v>
      </c>
      <c r="G50" s="4">
        <v>0.2</v>
      </c>
      <c r="H50" s="6">
        <v>45451</v>
      </c>
      <c r="I50" s="4">
        <v>332.32</v>
      </c>
    </row>
    <row r="51" spans="1:9" ht="15.75" customHeight="1" x14ac:dyDescent="0.2">
      <c r="A51" s="4" t="s">
        <v>46</v>
      </c>
      <c r="B51" s="4" t="s">
        <v>53</v>
      </c>
      <c r="C51" s="4" t="s">
        <v>22</v>
      </c>
      <c r="D51" s="4" t="s">
        <v>23</v>
      </c>
      <c r="E51" s="4">
        <v>775.45</v>
      </c>
      <c r="F51" s="4">
        <v>6</v>
      </c>
      <c r="G51" s="4">
        <v>0.1</v>
      </c>
      <c r="H51" s="6">
        <v>45457</v>
      </c>
      <c r="I51" s="4">
        <v>174.48</v>
      </c>
    </row>
    <row r="52" spans="1:9" ht="15.75" customHeight="1" x14ac:dyDescent="0.2">
      <c r="A52" s="4" t="s">
        <v>27</v>
      </c>
      <c r="B52" s="4" t="s">
        <v>35</v>
      </c>
      <c r="C52" s="4" t="s">
        <v>22</v>
      </c>
      <c r="D52" s="4" t="s">
        <v>23</v>
      </c>
      <c r="E52" s="4">
        <v>1021.47</v>
      </c>
      <c r="F52" s="4">
        <v>6</v>
      </c>
      <c r="G52" s="4">
        <v>0.05</v>
      </c>
      <c r="H52" s="6">
        <v>45461</v>
      </c>
      <c r="I52" s="4">
        <v>242.6</v>
      </c>
    </row>
    <row r="53" spans="1:9" ht="15.75" customHeight="1" x14ac:dyDescent="0.2">
      <c r="A53" s="4" t="s">
        <v>60</v>
      </c>
      <c r="B53" s="4" t="s">
        <v>25</v>
      </c>
      <c r="C53" s="4" t="s">
        <v>22</v>
      </c>
      <c r="D53" s="4" t="s">
        <v>17</v>
      </c>
      <c r="E53" s="4">
        <v>1226.6199999999999</v>
      </c>
      <c r="F53" s="4">
        <v>7</v>
      </c>
      <c r="G53" s="4">
        <v>0.1</v>
      </c>
      <c r="H53" s="6">
        <v>45463</v>
      </c>
      <c r="I53" s="4">
        <v>551.98</v>
      </c>
    </row>
    <row r="54" spans="1:9" ht="15.75" customHeight="1" x14ac:dyDescent="0.2">
      <c r="A54" s="4" t="s">
        <v>24</v>
      </c>
      <c r="B54" s="4" t="s">
        <v>66</v>
      </c>
      <c r="C54" s="4" t="s">
        <v>22</v>
      </c>
      <c r="D54" s="4" t="s">
        <v>29</v>
      </c>
      <c r="E54" s="4">
        <v>1086.93</v>
      </c>
      <c r="F54" s="4">
        <v>2</v>
      </c>
      <c r="G54" s="4">
        <v>0</v>
      </c>
      <c r="H54" s="6">
        <v>45464</v>
      </c>
      <c r="I54" s="4">
        <v>380.43</v>
      </c>
    </row>
    <row r="55" spans="1:9" ht="15.75" customHeight="1" x14ac:dyDescent="0.2">
      <c r="A55" s="4" t="s">
        <v>67</v>
      </c>
      <c r="B55" s="4" t="s">
        <v>50</v>
      </c>
      <c r="C55" s="4" t="s">
        <v>13</v>
      </c>
      <c r="D55" s="4" t="s">
        <v>14</v>
      </c>
      <c r="E55" s="4">
        <v>942.9</v>
      </c>
      <c r="F55" s="4">
        <v>18</v>
      </c>
      <c r="G55" s="4">
        <v>0.1</v>
      </c>
      <c r="H55" s="6">
        <v>45466</v>
      </c>
      <c r="I55" s="4">
        <v>339.44</v>
      </c>
    </row>
    <row r="56" spans="1:9" ht="15.75" customHeight="1" x14ac:dyDescent="0.2">
      <c r="A56" s="4" t="s">
        <v>34</v>
      </c>
      <c r="B56" s="4" t="s">
        <v>40</v>
      </c>
      <c r="C56" s="4" t="s">
        <v>26</v>
      </c>
      <c r="D56" s="4" t="s">
        <v>23</v>
      </c>
      <c r="E56" s="4">
        <v>818.8</v>
      </c>
      <c r="F56" s="4">
        <v>15</v>
      </c>
      <c r="G56" s="4">
        <v>0.15</v>
      </c>
      <c r="H56" s="6">
        <v>45468</v>
      </c>
      <c r="I56" s="4">
        <v>173.99</v>
      </c>
    </row>
    <row r="57" spans="1:9" ht="15.75" customHeight="1" x14ac:dyDescent="0.2">
      <c r="A57" s="4" t="s">
        <v>21</v>
      </c>
      <c r="B57" s="4" t="s">
        <v>16</v>
      </c>
      <c r="C57" s="4" t="s">
        <v>22</v>
      </c>
      <c r="D57" s="4" t="s">
        <v>29</v>
      </c>
      <c r="E57" s="4">
        <v>919.04</v>
      </c>
      <c r="F57" s="4">
        <v>10</v>
      </c>
      <c r="G57" s="4">
        <v>0.2</v>
      </c>
      <c r="H57" s="6">
        <v>45468</v>
      </c>
      <c r="I57" s="4">
        <v>257.33</v>
      </c>
    </row>
    <row r="58" spans="1:9" ht="15.75" customHeight="1" x14ac:dyDescent="0.2">
      <c r="A58" s="4" t="s">
        <v>24</v>
      </c>
      <c r="B58" s="4" t="s">
        <v>68</v>
      </c>
      <c r="C58" s="4" t="s">
        <v>36</v>
      </c>
      <c r="D58" s="4" t="s">
        <v>14</v>
      </c>
      <c r="E58" s="4">
        <v>973.26</v>
      </c>
      <c r="F58" s="4">
        <v>11</v>
      </c>
      <c r="G58" s="4">
        <v>0</v>
      </c>
      <c r="H58" s="6">
        <v>45470</v>
      </c>
      <c r="I58" s="4">
        <v>389.3</v>
      </c>
    </row>
    <row r="59" spans="1:9" ht="15.75" customHeight="1" x14ac:dyDescent="0.2">
      <c r="A59" s="4" t="s">
        <v>43</v>
      </c>
      <c r="B59" s="4" t="s">
        <v>66</v>
      </c>
      <c r="C59" s="4" t="s">
        <v>26</v>
      </c>
      <c r="D59" s="4" t="s">
        <v>23</v>
      </c>
      <c r="E59" s="4">
        <v>741.61</v>
      </c>
      <c r="F59" s="4">
        <v>1</v>
      </c>
      <c r="G59" s="4">
        <v>0.2</v>
      </c>
      <c r="H59" s="6">
        <v>45471</v>
      </c>
      <c r="I59" s="4">
        <v>148.32</v>
      </c>
    </row>
    <row r="60" spans="1:9" ht="15.75" customHeight="1" x14ac:dyDescent="0.2">
      <c r="A60" s="4" t="s">
        <v>69</v>
      </c>
      <c r="B60" s="4" t="s">
        <v>40</v>
      </c>
      <c r="C60" s="4" t="s">
        <v>26</v>
      </c>
      <c r="D60" s="4" t="s">
        <v>14</v>
      </c>
      <c r="E60" s="4">
        <v>1248.82</v>
      </c>
      <c r="F60" s="4">
        <v>2</v>
      </c>
      <c r="G60" s="4">
        <v>0.1</v>
      </c>
      <c r="H60" s="6">
        <v>45473</v>
      </c>
      <c r="I60" s="4">
        <v>449.58</v>
      </c>
    </row>
    <row r="61" spans="1:9" ht="15.75" customHeight="1" x14ac:dyDescent="0.2">
      <c r="A61" s="4" t="s">
        <v>15</v>
      </c>
      <c r="B61" s="4" t="s">
        <v>61</v>
      </c>
      <c r="C61" s="4" t="s">
        <v>13</v>
      </c>
      <c r="D61" s="4" t="s">
        <v>17</v>
      </c>
      <c r="E61" s="4">
        <v>1360.36</v>
      </c>
      <c r="F61" s="4">
        <v>17</v>
      </c>
      <c r="G61" s="4">
        <v>0</v>
      </c>
      <c r="H61" s="6">
        <v>45473</v>
      </c>
      <c r="I61" s="4">
        <v>680.18</v>
      </c>
    </row>
    <row r="62" spans="1:9" ht="15.75" customHeight="1" x14ac:dyDescent="0.2">
      <c r="A62" s="4" t="s">
        <v>59</v>
      </c>
      <c r="B62" s="4" t="s">
        <v>33</v>
      </c>
      <c r="C62" s="4" t="s">
        <v>20</v>
      </c>
      <c r="D62" s="4" t="s">
        <v>14</v>
      </c>
      <c r="E62" s="4">
        <v>1383.3</v>
      </c>
      <c r="F62" s="4">
        <v>8</v>
      </c>
      <c r="G62" s="4">
        <v>0.1</v>
      </c>
      <c r="H62" s="6">
        <v>45478</v>
      </c>
      <c r="I62" s="4">
        <v>497.99</v>
      </c>
    </row>
    <row r="63" spans="1:9" ht="15.75" customHeight="1" x14ac:dyDescent="0.2">
      <c r="A63" s="4" t="s">
        <v>37</v>
      </c>
      <c r="B63" s="4" t="s">
        <v>57</v>
      </c>
      <c r="C63" s="4" t="s">
        <v>36</v>
      </c>
      <c r="D63" s="4" t="s">
        <v>41</v>
      </c>
      <c r="E63" s="4">
        <v>488.99</v>
      </c>
      <c r="F63" s="4">
        <v>9</v>
      </c>
      <c r="G63" s="4">
        <v>0</v>
      </c>
      <c r="H63" s="6">
        <v>45479</v>
      </c>
      <c r="I63" s="4">
        <v>220.05</v>
      </c>
    </row>
    <row r="64" spans="1:9" ht="15.75" customHeight="1" x14ac:dyDescent="0.2">
      <c r="A64" s="4" t="s">
        <v>32</v>
      </c>
      <c r="B64" s="4" t="s">
        <v>33</v>
      </c>
      <c r="C64" s="4" t="s">
        <v>20</v>
      </c>
      <c r="D64" s="4" t="s">
        <v>29</v>
      </c>
      <c r="E64" s="4">
        <v>933.71</v>
      </c>
      <c r="F64" s="4">
        <v>17</v>
      </c>
      <c r="G64" s="4">
        <v>0.1</v>
      </c>
      <c r="H64" s="6">
        <v>45481</v>
      </c>
      <c r="I64" s="4">
        <v>294.12</v>
      </c>
    </row>
    <row r="65" spans="1:9" ht="15.75" customHeight="1" x14ac:dyDescent="0.2">
      <c r="A65" s="4" t="s">
        <v>69</v>
      </c>
      <c r="B65" s="4" t="s">
        <v>12</v>
      </c>
      <c r="C65" s="4" t="s">
        <v>13</v>
      </c>
      <c r="D65" s="4" t="s">
        <v>23</v>
      </c>
      <c r="E65" s="4">
        <v>1005.53</v>
      </c>
      <c r="F65" s="4">
        <v>17</v>
      </c>
      <c r="G65" s="4">
        <v>0.2</v>
      </c>
      <c r="H65" s="6">
        <v>45481</v>
      </c>
      <c r="I65" s="4">
        <v>201.11</v>
      </c>
    </row>
    <row r="66" spans="1:9" ht="15.75" customHeight="1" x14ac:dyDescent="0.2">
      <c r="A66" s="4" t="s">
        <v>43</v>
      </c>
      <c r="B66" s="4" t="s">
        <v>63</v>
      </c>
      <c r="C66" s="4" t="s">
        <v>22</v>
      </c>
      <c r="D66" s="4" t="s">
        <v>23</v>
      </c>
      <c r="E66" s="4">
        <v>1100.0999999999999</v>
      </c>
      <c r="F66" s="4">
        <v>5</v>
      </c>
      <c r="G66" s="4">
        <v>0.05</v>
      </c>
      <c r="H66" s="6">
        <v>45482</v>
      </c>
      <c r="I66" s="4">
        <v>261.27</v>
      </c>
    </row>
    <row r="67" spans="1:9" ht="15.75" customHeight="1" x14ac:dyDescent="0.2">
      <c r="A67" s="4" t="s">
        <v>69</v>
      </c>
      <c r="B67" s="4" t="s">
        <v>25</v>
      </c>
      <c r="C67" s="4" t="s">
        <v>26</v>
      </c>
      <c r="D67" s="4" t="s">
        <v>29</v>
      </c>
      <c r="E67" s="4">
        <v>1034.7</v>
      </c>
      <c r="F67" s="4">
        <v>15</v>
      </c>
      <c r="G67" s="4">
        <v>0.15</v>
      </c>
      <c r="H67" s="6">
        <v>45487</v>
      </c>
      <c r="I67" s="4">
        <v>307.82</v>
      </c>
    </row>
    <row r="68" spans="1:9" ht="15.75" customHeight="1" x14ac:dyDescent="0.2">
      <c r="A68" s="4" t="s">
        <v>67</v>
      </c>
      <c r="B68" s="4" t="s">
        <v>33</v>
      </c>
      <c r="C68" s="4" t="s">
        <v>22</v>
      </c>
      <c r="D68" s="4" t="s">
        <v>14</v>
      </c>
      <c r="E68" s="4">
        <v>876.44</v>
      </c>
      <c r="F68" s="4">
        <v>12</v>
      </c>
      <c r="G68" s="4">
        <v>0.05</v>
      </c>
      <c r="H68" s="6">
        <v>45488</v>
      </c>
      <c r="I68" s="4">
        <v>333.05</v>
      </c>
    </row>
    <row r="69" spans="1:9" ht="15.75" customHeight="1" x14ac:dyDescent="0.2">
      <c r="A69" s="4" t="s">
        <v>70</v>
      </c>
      <c r="B69" s="4" t="s">
        <v>57</v>
      </c>
      <c r="C69" s="4" t="s">
        <v>13</v>
      </c>
      <c r="D69" s="4" t="s">
        <v>29</v>
      </c>
      <c r="E69" s="4">
        <v>1371.34</v>
      </c>
      <c r="F69" s="4">
        <v>5</v>
      </c>
      <c r="G69" s="4">
        <v>0.05</v>
      </c>
      <c r="H69" s="6">
        <v>45488</v>
      </c>
      <c r="I69" s="4">
        <v>455.97</v>
      </c>
    </row>
    <row r="70" spans="1:9" ht="15.75" customHeight="1" x14ac:dyDescent="0.2">
      <c r="A70" s="4" t="s">
        <v>59</v>
      </c>
      <c r="B70" s="4" t="s">
        <v>49</v>
      </c>
      <c r="C70" s="4" t="s">
        <v>26</v>
      </c>
      <c r="D70" s="4" t="s">
        <v>23</v>
      </c>
      <c r="E70" s="4">
        <v>1020.26</v>
      </c>
      <c r="F70" s="4">
        <v>11</v>
      </c>
      <c r="G70" s="4">
        <v>0.05</v>
      </c>
      <c r="H70" s="6">
        <v>45494</v>
      </c>
      <c r="I70" s="4">
        <v>242.31</v>
      </c>
    </row>
    <row r="71" spans="1:9" ht="15.75" customHeight="1" x14ac:dyDescent="0.2">
      <c r="A71" s="4" t="s">
        <v>46</v>
      </c>
      <c r="B71" s="4" t="s">
        <v>12</v>
      </c>
      <c r="C71" s="4" t="s">
        <v>36</v>
      </c>
      <c r="D71" s="4" t="s">
        <v>41</v>
      </c>
      <c r="E71" s="4">
        <v>804.81</v>
      </c>
      <c r="F71" s="4">
        <v>1</v>
      </c>
      <c r="G71" s="4">
        <v>0.05</v>
      </c>
      <c r="H71" s="6">
        <v>45502</v>
      </c>
      <c r="I71" s="4">
        <v>344.06</v>
      </c>
    </row>
    <row r="72" spans="1:9" ht="15.75" customHeight="1" x14ac:dyDescent="0.2">
      <c r="A72" s="4" t="s">
        <v>24</v>
      </c>
      <c r="B72" s="4" t="s">
        <v>57</v>
      </c>
      <c r="C72" s="4" t="s">
        <v>36</v>
      </c>
      <c r="D72" s="4" t="s">
        <v>23</v>
      </c>
      <c r="E72" s="4">
        <v>608.66</v>
      </c>
      <c r="F72" s="4">
        <v>1</v>
      </c>
      <c r="G72" s="4">
        <v>0.05</v>
      </c>
      <c r="H72" s="6">
        <v>45503</v>
      </c>
      <c r="I72" s="4">
        <v>144.56</v>
      </c>
    </row>
    <row r="73" spans="1:9" ht="15.75" customHeight="1" x14ac:dyDescent="0.2">
      <c r="A73" s="4" t="s">
        <v>70</v>
      </c>
      <c r="B73" s="4" t="s">
        <v>71</v>
      </c>
      <c r="C73" s="4" t="s">
        <v>22</v>
      </c>
      <c r="D73" s="4" t="s">
        <v>41</v>
      </c>
      <c r="E73" s="4">
        <v>981.2</v>
      </c>
      <c r="F73" s="4">
        <v>19</v>
      </c>
      <c r="G73" s="4">
        <v>0</v>
      </c>
      <c r="H73" s="6">
        <v>45504</v>
      </c>
      <c r="I73" s="4">
        <v>441.54</v>
      </c>
    </row>
    <row r="74" spans="1:9" ht="15.75" customHeight="1" x14ac:dyDescent="0.2">
      <c r="A74" s="4" t="s">
        <v>72</v>
      </c>
      <c r="B74" s="4" t="s">
        <v>57</v>
      </c>
      <c r="C74" s="4" t="s">
        <v>20</v>
      </c>
      <c r="D74" s="4" t="s">
        <v>23</v>
      </c>
      <c r="E74" s="4">
        <v>539.77</v>
      </c>
      <c r="F74" s="4">
        <v>10</v>
      </c>
      <c r="G74" s="4">
        <v>0.15</v>
      </c>
      <c r="H74" s="6">
        <v>45509</v>
      </c>
      <c r="I74" s="4">
        <v>114.7</v>
      </c>
    </row>
    <row r="75" spans="1:9" ht="15.75" customHeight="1" x14ac:dyDescent="0.2">
      <c r="A75" s="4" t="s">
        <v>15</v>
      </c>
      <c r="B75" s="4" t="s">
        <v>73</v>
      </c>
      <c r="C75" s="4" t="s">
        <v>22</v>
      </c>
      <c r="D75" s="4" t="s">
        <v>14</v>
      </c>
      <c r="E75" s="4">
        <v>804.45</v>
      </c>
      <c r="F75" s="4">
        <v>5</v>
      </c>
      <c r="G75" s="4">
        <v>0.2</v>
      </c>
      <c r="H75" s="6">
        <v>45509</v>
      </c>
      <c r="I75" s="4">
        <v>257.42</v>
      </c>
    </row>
    <row r="76" spans="1:9" ht="15.75" customHeight="1" x14ac:dyDescent="0.2">
      <c r="A76" s="4" t="s">
        <v>72</v>
      </c>
      <c r="B76" s="4" t="s">
        <v>40</v>
      </c>
      <c r="C76" s="4" t="s">
        <v>13</v>
      </c>
      <c r="D76" s="4" t="s">
        <v>23</v>
      </c>
      <c r="E76" s="4">
        <v>1526.6</v>
      </c>
      <c r="F76" s="4">
        <v>13</v>
      </c>
      <c r="G76" s="4">
        <v>0.2</v>
      </c>
      <c r="H76" s="6">
        <v>45512</v>
      </c>
      <c r="I76" s="4">
        <v>305.32</v>
      </c>
    </row>
    <row r="77" spans="1:9" ht="15.75" customHeight="1" x14ac:dyDescent="0.2">
      <c r="A77" s="4" t="s">
        <v>15</v>
      </c>
      <c r="B77" s="4" t="s">
        <v>31</v>
      </c>
      <c r="C77" s="4" t="s">
        <v>13</v>
      </c>
      <c r="D77" s="4" t="s">
        <v>23</v>
      </c>
      <c r="E77" s="4">
        <v>1215.26</v>
      </c>
      <c r="F77" s="4">
        <v>5</v>
      </c>
      <c r="G77" s="4">
        <v>0.15</v>
      </c>
      <c r="H77" s="6">
        <v>45513</v>
      </c>
      <c r="I77" s="4">
        <v>258.24</v>
      </c>
    </row>
    <row r="78" spans="1:9" ht="15.75" customHeight="1" x14ac:dyDescent="0.2">
      <c r="A78" s="4" t="s">
        <v>21</v>
      </c>
      <c r="B78" s="4" t="s">
        <v>55</v>
      </c>
      <c r="C78" s="4" t="s">
        <v>36</v>
      </c>
      <c r="D78" s="4" t="s">
        <v>29</v>
      </c>
      <c r="E78" s="4">
        <v>1261.3399999999999</v>
      </c>
      <c r="F78" s="4">
        <v>3</v>
      </c>
      <c r="G78" s="4">
        <v>0</v>
      </c>
      <c r="H78" s="6">
        <v>45519</v>
      </c>
      <c r="I78" s="4">
        <v>441.47</v>
      </c>
    </row>
    <row r="79" spans="1:9" ht="15.75" customHeight="1" x14ac:dyDescent="0.2">
      <c r="A79" s="4" t="s">
        <v>74</v>
      </c>
      <c r="B79" s="4" t="s">
        <v>47</v>
      </c>
      <c r="C79" s="4" t="s">
        <v>26</v>
      </c>
      <c r="D79" s="4" t="s">
        <v>29</v>
      </c>
      <c r="E79" s="4">
        <v>518.07000000000005</v>
      </c>
      <c r="F79" s="4">
        <v>7</v>
      </c>
      <c r="G79" s="4">
        <v>0.05</v>
      </c>
      <c r="H79" s="6">
        <v>45522</v>
      </c>
      <c r="I79" s="4">
        <v>172.26</v>
      </c>
    </row>
    <row r="80" spans="1:9" ht="15.75" customHeight="1" x14ac:dyDescent="0.2">
      <c r="A80" s="4" t="s">
        <v>32</v>
      </c>
      <c r="B80" s="4" t="s">
        <v>31</v>
      </c>
      <c r="C80" s="4" t="s">
        <v>13</v>
      </c>
      <c r="D80" s="4" t="s">
        <v>41</v>
      </c>
      <c r="E80" s="4">
        <v>1111.3399999999999</v>
      </c>
      <c r="F80" s="4">
        <v>1</v>
      </c>
      <c r="G80" s="4">
        <v>0</v>
      </c>
      <c r="H80" s="6">
        <v>45523</v>
      </c>
      <c r="I80" s="4">
        <v>500.1</v>
      </c>
    </row>
    <row r="81" spans="1:9" ht="15.75" customHeight="1" x14ac:dyDescent="0.2">
      <c r="A81" s="4" t="s">
        <v>24</v>
      </c>
      <c r="B81" s="4" t="s">
        <v>33</v>
      </c>
      <c r="C81" s="4" t="s">
        <v>20</v>
      </c>
      <c r="D81" s="4" t="s">
        <v>17</v>
      </c>
      <c r="E81" s="4">
        <v>1291.47</v>
      </c>
      <c r="F81" s="4">
        <v>18</v>
      </c>
      <c r="G81" s="4">
        <v>0.1</v>
      </c>
      <c r="H81" s="6">
        <v>45526</v>
      </c>
      <c r="I81" s="4">
        <v>581.16</v>
      </c>
    </row>
    <row r="82" spans="1:9" ht="15.75" customHeight="1" x14ac:dyDescent="0.2">
      <c r="A82" s="4" t="s">
        <v>27</v>
      </c>
      <c r="B82" s="4" t="s">
        <v>57</v>
      </c>
      <c r="C82" s="4" t="s">
        <v>26</v>
      </c>
      <c r="D82" s="4" t="s">
        <v>14</v>
      </c>
      <c r="E82" s="4">
        <v>679.71</v>
      </c>
      <c r="F82" s="4">
        <v>19</v>
      </c>
      <c r="G82" s="4">
        <v>0</v>
      </c>
      <c r="H82" s="6">
        <v>45534</v>
      </c>
      <c r="I82" s="4">
        <v>271.88</v>
      </c>
    </row>
    <row r="83" spans="1:9" ht="15.75" customHeight="1" x14ac:dyDescent="0.2">
      <c r="A83" s="4" t="s">
        <v>70</v>
      </c>
      <c r="B83" s="4" t="s">
        <v>35</v>
      </c>
      <c r="C83" s="4" t="s">
        <v>20</v>
      </c>
      <c r="D83" s="4" t="s">
        <v>29</v>
      </c>
      <c r="E83" s="4">
        <v>1143.69</v>
      </c>
      <c r="F83" s="4">
        <v>17</v>
      </c>
      <c r="G83" s="4">
        <v>0</v>
      </c>
      <c r="H83" s="6">
        <v>45534</v>
      </c>
      <c r="I83" s="4">
        <v>400.29</v>
      </c>
    </row>
    <row r="84" spans="1:9" ht="15.75" customHeight="1" x14ac:dyDescent="0.2">
      <c r="A84" s="4" t="s">
        <v>54</v>
      </c>
      <c r="B84" s="4" t="s">
        <v>52</v>
      </c>
      <c r="C84" s="4" t="s">
        <v>36</v>
      </c>
      <c r="D84" s="4" t="s">
        <v>23</v>
      </c>
      <c r="E84" s="4">
        <v>790.08</v>
      </c>
      <c r="F84" s="4">
        <v>7</v>
      </c>
      <c r="G84" s="4">
        <v>0.1</v>
      </c>
      <c r="H84" s="6">
        <v>45536</v>
      </c>
      <c r="I84" s="4">
        <v>177.77</v>
      </c>
    </row>
    <row r="85" spans="1:9" ht="15.75" customHeight="1" x14ac:dyDescent="0.2">
      <c r="A85" s="4" t="s">
        <v>21</v>
      </c>
      <c r="B85" s="4" t="s">
        <v>50</v>
      </c>
      <c r="C85" s="4" t="s">
        <v>36</v>
      </c>
      <c r="D85" s="4" t="s">
        <v>14</v>
      </c>
      <c r="E85" s="4">
        <v>1070.68</v>
      </c>
      <c r="F85" s="4">
        <v>7</v>
      </c>
      <c r="G85" s="4">
        <v>0.05</v>
      </c>
      <c r="H85" s="6">
        <v>45536</v>
      </c>
      <c r="I85" s="4">
        <v>406.86</v>
      </c>
    </row>
    <row r="86" spans="1:9" ht="15.75" customHeight="1" x14ac:dyDescent="0.2">
      <c r="A86" s="4" t="s">
        <v>60</v>
      </c>
      <c r="B86" s="4" t="s">
        <v>38</v>
      </c>
      <c r="C86" s="4" t="s">
        <v>13</v>
      </c>
      <c r="D86" s="4" t="s">
        <v>17</v>
      </c>
      <c r="E86" s="4">
        <v>1168.8900000000001</v>
      </c>
      <c r="F86" s="4">
        <v>4</v>
      </c>
      <c r="G86" s="4">
        <v>0.1</v>
      </c>
      <c r="H86" s="6">
        <v>45544</v>
      </c>
      <c r="I86" s="4">
        <v>526</v>
      </c>
    </row>
    <row r="87" spans="1:9" ht="15.75" customHeight="1" x14ac:dyDescent="0.2">
      <c r="A87" s="4" t="s">
        <v>69</v>
      </c>
      <c r="B87" s="4" t="s">
        <v>12</v>
      </c>
      <c r="C87" s="4" t="s">
        <v>22</v>
      </c>
      <c r="D87" s="4" t="s">
        <v>23</v>
      </c>
      <c r="E87" s="4">
        <v>1335.87</v>
      </c>
      <c r="F87" s="4">
        <v>17</v>
      </c>
      <c r="G87" s="4">
        <v>0</v>
      </c>
      <c r="H87" s="6">
        <v>45544</v>
      </c>
      <c r="I87" s="4">
        <v>333.97</v>
      </c>
    </row>
    <row r="88" spans="1:9" ht="15.75" customHeight="1" x14ac:dyDescent="0.2">
      <c r="A88" s="4" t="s">
        <v>42</v>
      </c>
      <c r="B88" s="4" t="s">
        <v>57</v>
      </c>
      <c r="C88" s="4" t="s">
        <v>20</v>
      </c>
      <c r="D88" s="4" t="s">
        <v>29</v>
      </c>
      <c r="E88" s="4">
        <v>873.7</v>
      </c>
      <c r="F88" s="4">
        <v>9</v>
      </c>
      <c r="G88" s="4">
        <v>0</v>
      </c>
      <c r="H88" s="6">
        <v>45546</v>
      </c>
      <c r="I88" s="4">
        <v>305.8</v>
      </c>
    </row>
    <row r="89" spans="1:9" ht="15.75" customHeight="1" x14ac:dyDescent="0.2">
      <c r="A89" s="4" t="s">
        <v>74</v>
      </c>
      <c r="B89" s="4" t="s">
        <v>66</v>
      </c>
      <c r="C89" s="4" t="s">
        <v>13</v>
      </c>
      <c r="D89" s="4" t="s">
        <v>41</v>
      </c>
      <c r="E89" s="4">
        <v>1443.98</v>
      </c>
      <c r="F89" s="4">
        <v>19</v>
      </c>
      <c r="G89" s="4">
        <v>0</v>
      </c>
      <c r="H89" s="6">
        <v>45547</v>
      </c>
      <c r="I89" s="4">
        <v>649.79</v>
      </c>
    </row>
    <row r="90" spans="1:9" ht="15.75" customHeight="1" x14ac:dyDescent="0.2">
      <c r="A90" s="4" t="s">
        <v>42</v>
      </c>
      <c r="B90" s="4" t="s">
        <v>25</v>
      </c>
      <c r="C90" s="4" t="s">
        <v>20</v>
      </c>
      <c r="D90" s="4" t="s">
        <v>41</v>
      </c>
      <c r="E90" s="4">
        <v>1154.33</v>
      </c>
      <c r="F90" s="4">
        <v>11</v>
      </c>
      <c r="G90" s="4">
        <v>0.15</v>
      </c>
      <c r="H90" s="6">
        <v>45549</v>
      </c>
      <c r="I90" s="4">
        <v>441.53</v>
      </c>
    </row>
    <row r="91" spans="1:9" ht="15.75" customHeight="1" x14ac:dyDescent="0.2">
      <c r="A91" s="4" t="s">
        <v>51</v>
      </c>
      <c r="B91" s="4" t="s">
        <v>52</v>
      </c>
      <c r="C91" s="4" t="s">
        <v>22</v>
      </c>
      <c r="D91" s="4" t="s">
        <v>14</v>
      </c>
      <c r="E91" s="4">
        <v>1264.49</v>
      </c>
      <c r="F91" s="4">
        <v>16</v>
      </c>
      <c r="G91" s="4">
        <v>0.05</v>
      </c>
      <c r="H91" s="6">
        <v>45549</v>
      </c>
      <c r="I91" s="4">
        <v>480.51</v>
      </c>
    </row>
    <row r="92" spans="1:9" ht="15.75" customHeight="1" x14ac:dyDescent="0.2">
      <c r="A92" s="4" t="s">
        <v>27</v>
      </c>
      <c r="B92" s="4" t="s">
        <v>68</v>
      </c>
      <c r="C92" s="4" t="s">
        <v>13</v>
      </c>
      <c r="D92" s="4" t="s">
        <v>29</v>
      </c>
      <c r="E92" s="4">
        <v>1101.55</v>
      </c>
      <c r="F92" s="4">
        <v>4</v>
      </c>
      <c r="G92" s="4">
        <v>0.1</v>
      </c>
      <c r="H92" s="6">
        <v>45551</v>
      </c>
      <c r="I92" s="4">
        <v>346.99</v>
      </c>
    </row>
    <row r="93" spans="1:9" ht="15.75" customHeight="1" x14ac:dyDescent="0.2">
      <c r="A93" s="4" t="s">
        <v>75</v>
      </c>
      <c r="B93" s="4" t="s">
        <v>16</v>
      </c>
      <c r="C93" s="4" t="s">
        <v>22</v>
      </c>
      <c r="D93" s="4" t="s">
        <v>29</v>
      </c>
      <c r="E93" s="4">
        <v>727.73</v>
      </c>
      <c r="F93" s="4">
        <v>1</v>
      </c>
      <c r="G93" s="4">
        <v>0.1</v>
      </c>
      <c r="H93" s="6">
        <v>45552</v>
      </c>
      <c r="I93" s="4">
        <v>229.23</v>
      </c>
    </row>
    <row r="94" spans="1:9" ht="15.75" customHeight="1" x14ac:dyDescent="0.2">
      <c r="A94" s="4" t="s">
        <v>76</v>
      </c>
      <c r="B94" s="4" t="s">
        <v>40</v>
      </c>
      <c r="C94" s="4" t="s">
        <v>20</v>
      </c>
      <c r="D94" s="4" t="s">
        <v>41</v>
      </c>
      <c r="E94" s="4">
        <v>875.41</v>
      </c>
      <c r="F94" s="4">
        <v>13</v>
      </c>
      <c r="G94" s="4">
        <v>0.15</v>
      </c>
      <c r="H94" s="6">
        <v>45552</v>
      </c>
      <c r="I94" s="4">
        <v>334.84</v>
      </c>
    </row>
    <row r="95" spans="1:9" ht="15.75" customHeight="1" x14ac:dyDescent="0.2">
      <c r="A95" s="4" t="s">
        <v>69</v>
      </c>
      <c r="B95" s="4" t="s">
        <v>25</v>
      </c>
      <c r="C95" s="4" t="s">
        <v>13</v>
      </c>
      <c r="D95" s="4" t="s">
        <v>23</v>
      </c>
      <c r="E95" s="4">
        <v>1158.94</v>
      </c>
      <c r="F95" s="4">
        <v>19</v>
      </c>
      <c r="G95" s="4">
        <v>0.2</v>
      </c>
      <c r="H95" s="6">
        <v>45553</v>
      </c>
      <c r="I95" s="4">
        <v>231.79</v>
      </c>
    </row>
    <row r="96" spans="1:9" ht="15.75" customHeight="1" x14ac:dyDescent="0.2">
      <c r="A96" s="4" t="s">
        <v>77</v>
      </c>
      <c r="B96" s="4" t="s">
        <v>49</v>
      </c>
      <c r="C96" s="4" t="s">
        <v>22</v>
      </c>
      <c r="D96" s="4" t="s">
        <v>14</v>
      </c>
      <c r="E96" s="4">
        <v>966.3</v>
      </c>
      <c r="F96" s="4">
        <v>2</v>
      </c>
      <c r="G96" s="4">
        <v>0.15</v>
      </c>
      <c r="H96" s="6">
        <v>45557</v>
      </c>
      <c r="I96" s="4">
        <v>328.54</v>
      </c>
    </row>
    <row r="97" spans="1:9" ht="15.75" customHeight="1" x14ac:dyDescent="0.2">
      <c r="A97" s="4" t="s">
        <v>70</v>
      </c>
      <c r="B97" s="4" t="s">
        <v>19</v>
      </c>
      <c r="C97" s="4" t="s">
        <v>22</v>
      </c>
      <c r="D97" s="4" t="s">
        <v>14</v>
      </c>
      <c r="E97" s="4">
        <v>917.48</v>
      </c>
      <c r="F97" s="4">
        <v>6</v>
      </c>
      <c r="G97" s="4">
        <v>0</v>
      </c>
      <c r="H97" s="6">
        <v>45558</v>
      </c>
      <c r="I97" s="4">
        <v>366.99</v>
      </c>
    </row>
    <row r="98" spans="1:9" ht="15.75" customHeight="1" x14ac:dyDescent="0.2">
      <c r="A98" s="4" t="s">
        <v>43</v>
      </c>
      <c r="B98" s="4" t="s">
        <v>63</v>
      </c>
      <c r="C98" s="4" t="s">
        <v>13</v>
      </c>
      <c r="D98" s="4" t="s">
        <v>29</v>
      </c>
      <c r="E98" s="4">
        <v>1172.97</v>
      </c>
      <c r="F98" s="4">
        <v>7</v>
      </c>
      <c r="G98" s="4">
        <v>0.15</v>
      </c>
      <c r="H98" s="6">
        <v>45559</v>
      </c>
      <c r="I98" s="4">
        <v>348.96</v>
      </c>
    </row>
    <row r="99" spans="1:9" ht="15.75" customHeight="1" x14ac:dyDescent="0.2">
      <c r="A99" s="4" t="s">
        <v>59</v>
      </c>
      <c r="B99" s="4" t="s">
        <v>25</v>
      </c>
      <c r="C99" s="4" t="s">
        <v>26</v>
      </c>
      <c r="D99" s="4" t="s">
        <v>17</v>
      </c>
      <c r="E99" s="4">
        <v>1205.82</v>
      </c>
      <c r="F99" s="4">
        <v>11</v>
      </c>
      <c r="G99" s="4">
        <v>0.1</v>
      </c>
      <c r="H99" s="6">
        <v>45559</v>
      </c>
      <c r="I99" s="4">
        <v>542.62</v>
      </c>
    </row>
    <row r="100" spans="1:9" ht="15.75" customHeight="1" x14ac:dyDescent="0.2">
      <c r="A100" s="4" t="s">
        <v>18</v>
      </c>
      <c r="B100" s="4" t="s">
        <v>66</v>
      </c>
      <c r="C100" s="4" t="s">
        <v>13</v>
      </c>
      <c r="D100" s="4" t="s">
        <v>41</v>
      </c>
      <c r="E100" s="4">
        <v>826.93</v>
      </c>
      <c r="F100" s="4">
        <v>10</v>
      </c>
      <c r="G100" s="4">
        <v>0.2</v>
      </c>
      <c r="H100" s="6">
        <v>45564</v>
      </c>
      <c r="I100" s="4">
        <v>297.69</v>
      </c>
    </row>
    <row r="101" spans="1:9" ht="15.75" customHeight="1" x14ac:dyDescent="0.2">
      <c r="A101" s="4" t="s">
        <v>69</v>
      </c>
      <c r="B101" s="4" t="s">
        <v>25</v>
      </c>
      <c r="C101" s="4" t="s">
        <v>36</v>
      </c>
      <c r="D101" s="4" t="s">
        <v>17</v>
      </c>
      <c r="E101" s="4">
        <v>902.19</v>
      </c>
      <c r="F101" s="4">
        <v>12</v>
      </c>
      <c r="G101" s="4">
        <v>0</v>
      </c>
      <c r="H101" s="6">
        <v>45564</v>
      </c>
      <c r="I101" s="4">
        <v>451.1</v>
      </c>
    </row>
    <row r="102" spans="1:9" ht="15.75" customHeight="1" x14ac:dyDescent="0.2">
      <c r="A102" s="4" t="s">
        <v>76</v>
      </c>
      <c r="B102" s="4" t="s">
        <v>40</v>
      </c>
      <c r="C102" s="4" t="s">
        <v>26</v>
      </c>
      <c r="D102" s="4" t="s">
        <v>14</v>
      </c>
      <c r="E102" s="4">
        <v>585.97</v>
      </c>
      <c r="F102" s="4">
        <v>17</v>
      </c>
      <c r="G102" s="4">
        <v>0.1</v>
      </c>
      <c r="H102" s="6">
        <v>45565</v>
      </c>
      <c r="I102" s="4">
        <v>210.95</v>
      </c>
    </row>
    <row r="103" spans="1:9" ht="15.75" customHeight="1" x14ac:dyDescent="0.2">
      <c r="A103" s="4" t="s">
        <v>62</v>
      </c>
      <c r="B103" s="4" t="s">
        <v>28</v>
      </c>
      <c r="C103" s="4" t="s">
        <v>26</v>
      </c>
      <c r="D103" s="4" t="s">
        <v>17</v>
      </c>
      <c r="E103" s="4">
        <v>990.19</v>
      </c>
      <c r="F103" s="4">
        <v>8</v>
      </c>
      <c r="G103" s="4">
        <v>0.1</v>
      </c>
      <c r="H103" s="6">
        <v>45565</v>
      </c>
      <c r="I103" s="4">
        <v>445.59</v>
      </c>
    </row>
    <row r="104" spans="1:9" ht="15.75" customHeight="1" x14ac:dyDescent="0.2">
      <c r="A104" s="4" t="s">
        <v>46</v>
      </c>
      <c r="B104" s="4" t="s">
        <v>58</v>
      </c>
      <c r="C104" s="4" t="s">
        <v>36</v>
      </c>
      <c r="D104" s="4" t="s">
        <v>23</v>
      </c>
      <c r="E104" s="4">
        <v>1014.09</v>
      </c>
      <c r="F104" s="4">
        <v>13</v>
      </c>
      <c r="G104" s="4">
        <v>0.2</v>
      </c>
      <c r="H104" s="6">
        <v>45567</v>
      </c>
      <c r="I104" s="4">
        <v>202.82</v>
      </c>
    </row>
    <row r="105" spans="1:9" ht="15.75" customHeight="1" x14ac:dyDescent="0.2">
      <c r="A105" s="4" t="s">
        <v>15</v>
      </c>
      <c r="B105" s="4" t="s">
        <v>50</v>
      </c>
      <c r="C105" s="4" t="s">
        <v>26</v>
      </c>
      <c r="D105" s="4" t="s">
        <v>23</v>
      </c>
      <c r="E105" s="4">
        <v>925.29</v>
      </c>
      <c r="F105" s="4">
        <v>17</v>
      </c>
      <c r="G105" s="4">
        <v>0</v>
      </c>
      <c r="H105" s="6">
        <v>45570</v>
      </c>
      <c r="I105" s="4">
        <v>231.32</v>
      </c>
    </row>
    <row r="106" spans="1:9" ht="15.75" customHeight="1" x14ac:dyDescent="0.2">
      <c r="A106" s="4" t="s">
        <v>56</v>
      </c>
      <c r="B106" s="4" t="s">
        <v>49</v>
      </c>
      <c r="C106" s="4" t="s">
        <v>20</v>
      </c>
      <c r="D106" s="4" t="s">
        <v>29</v>
      </c>
      <c r="E106" s="4">
        <v>1286.54</v>
      </c>
      <c r="F106" s="4">
        <v>8</v>
      </c>
      <c r="G106" s="4">
        <v>0</v>
      </c>
      <c r="H106" s="6">
        <v>45575</v>
      </c>
      <c r="I106" s="4">
        <v>450.29</v>
      </c>
    </row>
    <row r="107" spans="1:9" ht="15.75" customHeight="1" x14ac:dyDescent="0.2">
      <c r="A107" s="4" t="s">
        <v>39</v>
      </c>
      <c r="B107" s="4" t="s">
        <v>66</v>
      </c>
      <c r="C107" s="4" t="s">
        <v>22</v>
      </c>
      <c r="D107" s="4" t="s">
        <v>14</v>
      </c>
      <c r="E107" s="4">
        <v>961.62</v>
      </c>
      <c r="F107" s="4">
        <v>8</v>
      </c>
      <c r="G107" s="4">
        <v>0.2</v>
      </c>
      <c r="H107" s="6">
        <v>45577</v>
      </c>
      <c r="I107" s="4">
        <v>307.72000000000003</v>
      </c>
    </row>
    <row r="108" spans="1:9" ht="15.75" customHeight="1" x14ac:dyDescent="0.2">
      <c r="A108" s="4" t="s">
        <v>46</v>
      </c>
      <c r="B108" s="4" t="s">
        <v>25</v>
      </c>
      <c r="C108" s="4" t="s">
        <v>20</v>
      </c>
      <c r="D108" s="4" t="s">
        <v>14</v>
      </c>
      <c r="E108" s="4">
        <v>1081.1400000000001</v>
      </c>
      <c r="F108" s="4">
        <v>19</v>
      </c>
      <c r="G108" s="4">
        <v>0.15</v>
      </c>
      <c r="H108" s="6">
        <v>45577</v>
      </c>
      <c r="I108" s="4">
        <v>367.59</v>
      </c>
    </row>
    <row r="109" spans="1:9" ht="15.75" customHeight="1" x14ac:dyDescent="0.2">
      <c r="A109" s="4" t="s">
        <v>60</v>
      </c>
      <c r="B109" s="4" t="s">
        <v>25</v>
      </c>
      <c r="C109" s="4" t="s">
        <v>13</v>
      </c>
      <c r="D109" s="4" t="s">
        <v>17</v>
      </c>
      <c r="E109" s="4">
        <v>1923.66</v>
      </c>
      <c r="F109" s="4">
        <v>9</v>
      </c>
      <c r="G109" s="4">
        <v>0.2</v>
      </c>
      <c r="H109" s="6">
        <v>45580</v>
      </c>
      <c r="I109" s="4">
        <v>769.46</v>
      </c>
    </row>
    <row r="110" spans="1:9" ht="15.75" customHeight="1" x14ac:dyDescent="0.2">
      <c r="A110" s="4" t="s">
        <v>56</v>
      </c>
      <c r="B110" s="4" t="s">
        <v>68</v>
      </c>
      <c r="C110" s="4" t="s">
        <v>36</v>
      </c>
      <c r="D110" s="4" t="s">
        <v>17</v>
      </c>
      <c r="E110" s="4">
        <v>728.71</v>
      </c>
      <c r="F110" s="4">
        <v>14</v>
      </c>
      <c r="G110" s="4">
        <v>0.1</v>
      </c>
      <c r="H110" s="6">
        <v>45581</v>
      </c>
      <c r="I110" s="4">
        <v>327.92</v>
      </c>
    </row>
    <row r="111" spans="1:9" ht="15.75" customHeight="1" x14ac:dyDescent="0.2">
      <c r="A111" s="4" t="s">
        <v>10</v>
      </c>
      <c r="B111" s="4" t="s">
        <v>35</v>
      </c>
      <c r="C111" s="4" t="s">
        <v>36</v>
      </c>
      <c r="D111" s="4" t="s">
        <v>17</v>
      </c>
      <c r="E111" s="4">
        <v>1301.8900000000001</v>
      </c>
      <c r="F111" s="4">
        <v>7</v>
      </c>
      <c r="G111" s="4">
        <v>0.15</v>
      </c>
      <c r="H111" s="6">
        <v>45581</v>
      </c>
      <c r="I111" s="4">
        <v>553.29999999999995</v>
      </c>
    </row>
    <row r="112" spans="1:9" ht="15.75" customHeight="1" x14ac:dyDescent="0.2">
      <c r="A112" s="4" t="s">
        <v>72</v>
      </c>
      <c r="B112" s="4" t="s">
        <v>68</v>
      </c>
      <c r="C112" s="4" t="s">
        <v>20</v>
      </c>
      <c r="D112" s="4" t="s">
        <v>14</v>
      </c>
      <c r="E112" s="4">
        <v>980.18</v>
      </c>
      <c r="F112" s="4">
        <v>16</v>
      </c>
      <c r="G112" s="4">
        <v>0.1</v>
      </c>
      <c r="H112" s="6">
        <v>45582</v>
      </c>
      <c r="I112" s="4">
        <v>352.86</v>
      </c>
    </row>
    <row r="113" spans="1:9" ht="15.75" customHeight="1" x14ac:dyDescent="0.2">
      <c r="A113" s="4" t="s">
        <v>76</v>
      </c>
      <c r="B113" s="4" t="s">
        <v>25</v>
      </c>
      <c r="C113" s="4" t="s">
        <v>13</v>
      </c>
      <c r="D113" s="4" t="s">
        <v>17</v>
      </c>
      <c r="E113" s="4">
        <v>697.57</v>
      </c>
      <c r="F113" s="4">
        <v>17</v>
      </c>
      <c r="G113" s="4">
        <v>0.1</v>
      </c>
      <c r="H113" s="6">
        <v>45584</v>
      </c>
      <c r="I113" s="4">
        <v>313.91000000000003</v>
      </c>
    </row>
    <row r="114" spans="1:9" ht="15.75" customHeight="1" x14ac:dyDescent="0.2">
      <c r="A114" s="4" t="s">
        <v>48</v>
      </c>
      <c r="B114" s="4" t="s">
        <v>73</v>
      </c>
      <c r="C114" s="4" t="s">
        <v>13</v>
      </c>
      <c r="D114" s="4" t="s">
        <v>29</v>
      </c>
      <c r="E114" s="4">
        <v>1193.6099999999999</v>
      </c>
      <c r="F114" s="4">
        <v>1</v>
      </c>
      <c r="G114" s="4">
        <v>0.15</v>
      </c>
      <c r="H114" s="6">
        <v>45584</v>
      </c>
      <c r="I114" s="4">
        <v>355.1</v>
      </c>
    </row>
    <row r="115" spans="1:9" ht="15.75" customHeight="1" x14ac:dyDescent="0.2">
      <c r="A115" s="4" t="s">
        <v>34</v>
      </c>
      <c r="B115" s="4" t="s">
        <v>40</v>
      </c>
      <c r="C115" s="4" t="s">
        <v>22</v>
      </c>
      <c r="D115" s="4" t="s">
        <v>23</v>
      </c>
      <c r="E115" s="4">
        <v>771.02</v>
      </c>
      <c r="F115" s="4">
        <v>1</v>
      </c>
      <c r="G115" s="4">
        <v>0</v>
      </c>
      <c r="H115" s="6">
        <v>45585</v>
      </c>
      <c r="I115" s="4">
        <v>192.76</v>
      </c>
    </row>
    <row r="116" spans="1:9" ht="15.75" customHeight="1" x14ac:dyDescent="0.2">
      <c r="A116" s="4" t="s">
        <v>69</v>
      </c>
      <c r="B116" s="4" t="s">
        <v>71</v>
      </c>
      <c r="C116" s="4" t="s">
        <v>26</v>
      </c>
      <c r="D116" s="4" t="s">
        <v>17</v>
      </c>
      <c r="E116" s="4">
        <v>661.09</v>
      </c>
      <c r="F116" s="4">
        <v>1</v>
      </c>
      <c r="G116" s="4">
        <v>0.2</v>
      </c>
      <c r="H116" s="6">
        <v>45593</v>
      </c>
      <c r="I116" s="4">
        <v>264.44</v>
      </c>
    </row>
    <row r="117" spans="1:9" ht="15.75" customHeight="1" x14ac:dyDescent="0.2">
      <c r="A117" s="4" t="s">
        <v>15</v>
      </c>
      <c r="B117" s="4" t="s">
        <v>57</v>
      </c>
      <c r="C117" s="4" t="s">
        <v>13</v>
      </c>
      <c r="D117" s="4" t="s">
        <v>23</v>
      </c>
      <c r="E117" s="4">
        <v>688.83</v>
      </c>
      <c r="F117" s="4">
        <v>15</v>
      </c>
      <c r="G117" s="4">
        <v>0</v>
      </c>
      <c r="H117" s="6">
        <v>45595</v>
      </c>
      <c r="I117" s="4">
        <v>172.21</v>
      </c>
    </row>
    <row r="118" spans="1:9" ht="15.75" customHeight="1" x14ac:dyDescent="0.2">
      <c r="A118" s="4" t="s">
        <v>75</v>
      </c>
      <c r="B118" s="4" t="s">
        <v>31</v>
      </c>
      <c r="C118" s="4" t="s">
        <v>36</v>
      </c>
      <c r="D118" s="4" t="s">
        <v>14</v>
      </c>
      <c r="E118" s="4">
        <v>1249.0999999999999</v>
      </c>
      <c r="F118" s="4">
        <v>4</v>
      </c>
      <c r="G118" s="4">
        <v>0.05</v>
      </c>
      <c r="H118" s="6">
        <v>45597</v>
      </c>
      <c r="I118" s="4">
        <v>474.66</v>
      </c>
    </row>
    <row r="119" spans="1:9" ht="15.75" customHeight="1" x14ac:dyDescent="0.2">
      <c r="A119" s="4" t="s">
        <v>46</v>
      </c>
      <c r="B119" s="4" t="s">
        <v>25</v>
      </c>
      <c r="C119" s="4" t="s">
        <v>20</v>
      </c>
      <c r="D119" s="4" t="s">
        <v>41</v>
      </c>
      <c r="E119" s="4">
        <v>1014.22</v>
      </c>
      <c r="F119" s="4">
        <v>14</v>
      </c>
      <c r="G119" s="4">
        <v>0.05</v>
      </c>
      <c r="H119" s="6">
        <v>45599</v>
      </c>
      <c r="I119" s="4">
        <v>433.58</v>
      </c>
    </row>
    <row r="120" spans="1:9" ht="15.75" customHeight="1" x14ac:dyDescent="0.2">
      <c r="A120" s="4" t="s">
        <v>56</v>
      </c>
      <c r="B120" s="4" t="s">
        <v>50</v>
      </c>
      <c r="C120" s="4" t="s">
        <v>20</v>
      </c>
      <c r="D120" s="4" t="s">
        <v>14</v>
      </c>
      <c r="E120" s="4">
        <v>1010.58</v>
      </c>
      <c r="F120" s="4">
        <v>2</v>
      </c>
      <c r="G120" s="4">
        <v>0.15</v>
      </c>
      <c r="H120" s="6">
        <v>45605</v>
      </c>
      <c r="I120" s="4">
        <v>343.6</v>
      </c>
    </row>
    <row r="121" spans="1:9" ht="15.75" customHeight="1" x14ac:dyDescent="0.2">
      <c r="A121" s="4" t="s">
        <v>32</v>
      </c>
      <c r="B121" s="4" t="s">
        <v>61</v>
      </c>
      <c r="C121" s="4" t="s">
        <v>26</v>
      </c>
      <c r="D121" s="4" t="s">
        <v>29</v>
      </c>
      <c r="E121" s="4">
        <v>957.29</v>
      </c>
      <c r="F121" s="4">
        <v>4</v>
      </c>
      <c r="G121" s="4">
        <v>0.05</v>
      </c>
      <c r="H121" s="6">
        <v>45605</v>
      </c>
      <c r="I121" s="4">
        <v>318.3</v>
      </c>
    </row>
    <row r="122" spans="1:9" ht="15.75" customHeight="1" x14ac:dyDescent="0.2">
      <c r="A122" s="4" t="s">
        <v>30</v>
      </c>
      <c r="B122" s="4" t="s">
        <v>47</v>
      </c>
      <c r="C122" s="4" t="s">
        <v>26</v>
      </c>
      <c r="D122" s="4" t="s">
        <v>29</v>
      </c>
      <c r="E122" s="4">
        <v>1077.92</v>
      </c>
      <c r="F122" s="4">
        <v>3</v>
      </c>
      <c r="G122" s="4">
        <v>0.05</v>
      </c>
      <c r="H122" s="6">
        <v>45608</v>
      </c>
      <c r="I122" s="4">
        <v>358.41</v>
      </c>
    </row>
    <row r="123" spans="1:9" ht="15.75" customHeight="1" x14ac:dyDescent="0.2">
      <c r="A123" s="4" t="s">
        <v>54</v>
      </c>
      <c r="B123" s="4" t="s">
        <v>52</v>
      </c>
      <c r="C123" s="4" t="s">
        <v>22</v>
      </c>
      <c r="D123" s="4" t="s">
        <v>17</v>
      </c>
      <c r="E123" s="4">
        <v>1163.01</v>
      </c>
      <c r="F123" s="4">
        <v>5</v>
      </c>
      <c r="G123" s="4">
        <v>0</v>
      </c>
      <c r="H123" s="6">
        <v>45611</v>
      </c>
      <c r="I123" s="4">
        <v>581.5</v>
      </c>
    </row>
    <row r="124" spans="1:9" ht="15.75" customHeight="1" x14ac:dyDescent="0.2">
      <c r="A124" s="4" t="s">
        <v>56</v>
      </c>
      <c r="B124" s="4" t="s">
        <v>47</v>
      </c>
      <c r="C124" s="4" t="s">
        <v>20</v>
      </c>
      <c r="D124" s="4" t="s">
        <v>41</v>
      </c>
      <c r="E124" s="4">
        <v>1014.56</v>
      </c>
      <c r="F124" s="4">
        <v>10</v>
      </c>
      <c r="G124" s="4">
        <v>0.1</v>
      </c>
      <c r="H124" s="6">
        <v>45612</v>
      </c>
      <c r="I124" s="4">
        <v>410.9</v>
      </c>
    </row>
    <row r="125" spans="1:9" ht="15.75" customHeight="1" x14ac:dyDescent="0.2">
      <c r="A125" s="4" t="s">
        <v>10</v>
      </c>
      <c r="B125" s="4" t="s">
        <v>19</v>
      </c>
      <c r="C125" s="4" t="s">
        <v>22</v>
      </c>
      <c r="D125" s="4" t="s">
        <v>23</v>
      </c>
      <c r="E125" s="4">
        <v>718.04</v>
      </c>
      <c r="F125" s="4">
        <v>14</v>
      </c>
      <c r="G125" s="4">
        <v>0</v>
      </c>
      <c r="H125" s="6">
        <v>45613</v>
      </c>
      <c r="I125" s="4">
        <v>179.51</v>
      </c>
    </row>
    <row r="126" spans="1:9" ht="15.75" customHeight="1" x14ac:dyDescent="0.2">
      <c r="A126" s="4" t="s">
        <v>74</v>
      </c>
      <c r="B126" s="4" t="s">
        <v>19</v>
      </c>
      <c r="C126" s="4" t="s">
        <v>36</v>
      </c>
      <c r="D126" s="4" t="s">
        <v>17</v>
      </c>
      <c r="E126" s="4">
        <v>1277.8499999999999</v>
      </c>
      <c r="F126" s="4">
        <v>18</v>
      </c>
      <c r="G126" s="4">
        <v>0.2</v>
      </c>
      <c r="H126" s="6">
        <v>45613</v>
      </c>
      <c r="I126" s="4">
        <v>511.14</v>
      </c>
    </row>
    <row r="127" spans="1:9" ht="15.75" customHeight="1" x14ac:dyDescent="0.2">
      <c r="A127" s="4" t="s">
        <v>72</v>
      </c>
      <c r="B127" s="4" t="s">
        <v>25</v>
      </c>
      <c r="C127" s="4" t="s">
        <v>26</v>
      </c>
      <c r="D127" s="4" t="s">
        <v>23</v>
      </c>
      <c r="E127" s="4">
        <v>706.73</v>
      </c>
      <c r="F127" s="4">
        <v>1</v>
      </c>
      <c r="G127" s="4">
        <v>0.15</v>
      </c>
      <c r="H127" s="6">
        <v>45613</v>
      </c>
      <c r="I127" s="4">
        <v>150.18</v>
      </c>
    </row>
    <row r="128" spans="1:9" ht="15.75" customHeight="1" x14ac:dyDescent="0.2">
      <c r="A128" s="4" t="s">
        <v>67</v>
      </c>
      <c r="B128" s="4" t="s">
        <v>52</v>
      </c>
      <c r="C128" s="4" t="s">
        <v>20</v>
      </c>
      <c r="D128" s="4" t="s">
        <v>23</v>
      </c>
      <c r="E128" s="4">
        <v>1410.59</v>
      </c>
      <c r="F128" s="4">
        <v>15</v>
      </c>
      <c r="G128" s="4">
        <v>0</v>
      </c>
      <c r="H128" s="6">
        <v>45615</v>
      </c>
      <c r="I128" s="4">
        <v>352.65</v>
      </c>
    </row>
    <row r="129" spans="1:9" ht="15.75" customHeight="1" x14ac:dyDescent="0.2">
      <c r="A129" s="4" t="s">
        <v>34</v>
      </c>
      <c r="B129" s="4" t="s">
        <v>63</v>
      </c>
      <c r="C129" s="4" t="s">
        <v>22</v>
      </c>
      <c r="D129" s="4" t="s">
        <v>29</v>
      </c>
      <c r="E129" s="4">
        <v>1350.33</v>
      </c>
      <c r="F129" s="4">
        <v>10</v>
      </c>
      <c r="G129" s="4">
        <v>0</v>
      </c>
      <c r="H129" s="6">
        <v>45615</v>
      </c>
      <c r="I129" s="4">
        <v>472.62</v>
      </c>
    </row>
    <row r="130" spans="1:9" ht="15.75" customHeight="1" x14ac:dyDescent="0.2">
      <c r="A130" s="4" t="s">
        <v>43</v>
      </c>
      <c r="B130" s="4" t="s">
        <v>47</v>
      </c>
      <c r="C130" s="4" t="s">
        <v>20</v>
      </c>
      <c r="D130" s="4" t="s">
        <v>23</v>
      </c>
      <c r="E130" s="4">
        <v>919.18</v>
      </c>
      <c r="F130" s="4">
        <v>4</v>
      </c>
      <c r="G130" s="4">
        <v>0.15</v>
      </c>
      <c r="H130" s="6">
        <v>45615</v>
      </c>
      <c r="I130" s="4">
        <v>195.33</v>
      </c>
    </row>
    <row r="131" spans="1:9" ht="15.75" customHeight="1" x14ac:dyDescent="0.2">
      <c r="A131" s="4" t="s">
        <v>76</v>
      </c>
      <c r="B131" s="4" t="s">
        <v>25</v>
      </c>
      <c r="C131" s="4" t="s">
        <v>13</v>
      </c>
      <c r="D131" s="4" t="s">
        <v>23</v>
      </c>
      <c r="E131" s="4">
        <v>258.51</v>
      </c>
      <c r="F131" s="4">
        <v>19</v>
      </c>
      <c r="G131" s="4">
        <v>0</v>
      </c>
      <c r="H131" s="6">
        <v>45616</v>
      </c>
      <c r="I131" s="4">
        <v>64.63</v>
      </c>
    </row>
    <row r="132" spans="1:9" ht="15.75" customHeight="1" x14ac:dyDescent="0.2">
      <c r="A132" s="4" t="s">
        <v>65</v>
      </c>
      <c r="B132" s="4" t="s">
        <v>63</v>
      </c>
      <c r="C132" s="4" t="s">
        <v>20</v>
      </c>
      <c r="D132" s="4" t="s">
        <v>14</v>
      </c>
      <c r="E132" s="4">
        <v>1213.48</v>
      </c>
      <c r="F132" s="4">
        <v>5</v>
      </c>
      <c r="G132" s="4">
        <v>0.05</v>
      </c>
      <c r="H132" s="6">
        <v>45616</v>
      </c>
      <c r="I132" s="4">
        <v>461.12</v>
      </c>
    </row>
    <row r="133" spans="1:9" ht="15.75" customHeight="1" x14ac:dyDescent="0.2">
      <c r="A133" s="4" t="s">
        <v>59</v>
      </c>
      <c r="B133" s="4" t="s">
        <v>40</v>
      </c>
      <c r="C133" s="4" t="s">
        <v>36</v>
      </c>
      <c r="D133" s="4" t="s">
        <v>14</v>
      </c>
      <c r="E133" s="4">
        <v>1150.28</v>
      </c>
      <c r="F133" s="4">
        <v>8</v>
      </c>
      <c r="G133" s="4">
        <v>0.05</v>
      </c>
      <c r="H133" s="6">
        <v>45622</v>
      </c>
      <c r="I133" s="4">
        <v>437.11</v>
      </c>
    </row>
    <row r="134" spans="1:9" ht="15.75" customHeight="1" x14ac:dyDescent="0.2">
      <c r="A134" s="4" t="s">
        <v>39</v>
      </c>
      <c r="B134" s="4" t="s">
        <v>73</v>
      </c>
      <c r="C134" s="4" t="s">
        <v>22</v>
      </c>
      <c r="D134" s="4" t="s">
        <v>29</v>
      </c>
      <c r="E134" s="4">
        <v>853.86</v>
      </c>
      <c r="F134" s="4">
        <v>8</v>
      </c>
      <c r="G134" s="4">
        <v>0.1</v>
      </c>
      <c r="H134" s="6">
        <v>45622</v>
      </c>
      <c r="I134" s="4">
        <v>268.97000000000003</v>
      </c>
    </row>
    <row r="135" spans="1:9" ht="15.75" customHeight="1" x14ac:dyDescent="0.2">
      <c r="A135" s="4" t="s">
        <v>77</v>
      </c>
      <c r="B135" s="4" t="s">
        <v>47</v>
      </c>
      <c r="C135" s="4" t="s">
        <v>22</v>
      </c>
      <c r="D135" s="4" t="s">
        <v>23</v>
      </c>
      <c r="E135" s="4">
        <v>1061.04</v>
      </c>
      <c r="F135" s="4">
        <v>1</v>
      </c>
      <c r="G135" s="4">
        <v>0</v>
      </c>
      <c r="H135" s="6">
        <v>45624</v>
      </c>
      <c r="I135" s="4">
        <v>265.26</v>
      </c>
    </row>
    <row r="136" spans="1:9" ht="15.75" customHeight="1" x14ac:dyDescent="0.2">
      <c r="A136" s="4" t="s">
        <v>30</v>
      </c>
      <c r="B136" s="4" t="s">
        <v>45</v>
      </c>
      <c r="C136" s="4" t="s">
        <v>13</v>
      </c>
      <c r="D136" s="4" t="s">
        <v>23</v>
      </c>
      <c r="E136" s="4">
        <v>894.55</v>
      </c>
      <c r="F136" s="4">
        <v>19</v>
      </c>
      <c r="G136" s="4">
        <v>0.2</v>
      </c>
      <c r="H136" s="6">
        <v>45625</v>
      </c>
      <c r="I136" s="4">
        <v>178.91</v>
      </c>
    </row>
    <row r="137" spans="1:9" ht="15.75" customHeight="1" x14ac:dyDescent="0.2">
      <c r="A137" s="4" t="s">
        <v>27</v>
      </c>
      <c r="B137" s="4" t="s">
        <v>40</v>
      </c>
      <c r="C137" s="4" t="s">
        <v>26</v>
      </c>
      <c r="D137" s="4" t="s">
        <v>41</v>
      </c>
      <c r="E137" s="4">
        <v>833.91</v>
      </c>
      <c r="F137" s="4">
        <v>3</v>
      </c>
      <c r="G137" s="4">
        <v>0.05</v>
      </c>
      <c r="H137" s="6">
        <v>45626</v>
      </c>
      <c r="I137" s="4">
        <v>356.5</v>
      </c>
    </row>
    <row r="138" spans="1:9" ht="15.75" customHeight="1" x14ac:dyDescent="0.2">
      <c r="A138" s="4" t="s">
        <v>60</v>
      </c>
      <c r="B138" s="4" t="s">
        <v>73</v>
      </c>
      <c r="C138" s="4" t="s">
        <v>13</v>
      </c>
      <c r="D138" s="4" t="s">
        <v>29</v>
      </c>
      <c r="E138" s="4">
        <v>820.19</v>
      </c>
      <c r="F138" s="4">
        <v>4</v>
      </c>
      <c r="G138" s="4">
        <v>0.2</v>
      </c>
      <c r="H138" s="6">
        <v>45630</v>
      </c>
      <c r="I138" s="4">
        <v>229.65</v>
      </c>
    </row>
    <row r="139" spans="1:9" ht="15.75" customHeight="1" x14ac:dyDescent="0.2">
      <c r="A139" s="4" t="s">
        <v>60</v>
      </c>
      <c r="B139" s="4" t="s">
        <v>40</v>
      </c>
      <c r="C139" s="4" t="s">
        <v>36</v>
      </c>
      <c r="D139" s="4" t="s">
        <v>23</v>
      </c>
      <c r="E139" s="4">
        <v>511.74</v>
      </c>
      <c r="F139" s="4">
        <v>8</v>
      </c>
      <c r="G139" s="4">
        <v>0.05</v>
      </c>
      <c r="H139" s="6">
        <v>45631</v>
      </c>
      <c r="I139" s="4">
        <v>121.54</v>
      </c>
    </row>
    <row r="140" spans="1:9" ht="15.75" customHeight="1" x14ac:dyDescent="0.2">
      <c r="A140" s="4" t="s">
        <v>67</v>
      </c>
      <c r="B140" s="4" t="s">
        <v>63</v>
      </c>
      <c r="C140" s="4" t="s">
        <v>22</v>
      </c>
      <c r="D140" s="4" t="s">
        <v>29</v>
      </c>
      <c r="E140" s="4">
        <v>806.03</v>
      </c>
      <c r="F140" s="4">
        <v>19</v>
      </c>
      <c r="G140" s="4">
        <v>0.05</v>
      </c>
      <c r="H140" s="6">
        <v>45638</v>
      </c>
      <c r="I140" s="4">
        <v>268</v>
      </c>
    </row>
    <row r="141" spans="1:9" ht="15.75" customHeight="1" x14ac:dyDescent="0.2">
      <c r="A141" s="4" t="s">
        <v>30</v>
      </c>
      <c r="B141" s="4" t="s">
        <v>28</v>
      </c>
      <c r="C141" s="4" t="s">
        <v>36</v>
      </c>
      <c r="D141" s="4" t="s">
        <v>29</v>
      </c>
      <c r="E141" s="4">
        <v>1432.47</v>
      </c>
      <c r="F141" s="4">
        <v>16</v>
      </c>
      <c r="G141" s="4">
        <v>0.15</v>
      </c>
      <c r="H141" s="6">
        <v>45640</v>
      </c>
      <c r="I141" s="4">
        <v>426.16</v>
      </c>
    </row>
    <row r="142" spans="1:9" ht="15.75" customHeight="1" x14ac:dyDescent="0.2">
      <c r="A142" s="4" t="s">
        <v>76</v>
      </c>
      <c r="B142" s="4" t="s">
        <v>31</v>
      </c>
      <c r="C142" s="4" t="s">
        <v>36</v>
      </c>
      <c r="D142" s="4" t="s">
        <v>23</v>
      </c>
      <c r="E142" s="4">
        <v>1488.58</v>
      </c>
      <c r="F142" s="4">
        <v>10</v>
      </c>
      <c r="G142" s="4">
        <v>0.15</v>
      </c>
      <c r="H142" s="6">
        <v>45640</v>
      </c>
      <c r="I142" s="4">
        <v>316.32</v>
      </c>
    </row>
    <row r="143" spans="1:9" ht="15.75" customHeight="1" x14ac:dyDescent="0.2">
      <c r="A143" s="4" t="s">
        <v>32</v>
      </c>
      <c r="B143" s="4" t="s">
        <v>68</v>
      </c>
      <c r="C143" s="4" t="s">
        <v>20</v>
      </c>
      <c r="D143" s="4" t="s">
        <v>14</v>
      </c>
      <c r="E143" s="4">
        <v>1231.26</v>
      </c>
      <c r="F143" s="4">
        <v>9</v>
      </c>
      <c r="G143" s="4">
        <v>0</v>
      </c>
      <c r="H143" s="6">
        <v>45646</v>
      </c>
      <c r="I143" s="4">
        <v>492.5</v>
      </c>
    </row>
    <row r="144" spans="1:9" ht="15.75" customHeight="1" x14ac:dyDescent="0.2">
      <c r="A144" s="4" t="s">
        <v>32</v>
      </c>
      <c r="B144" s="4" t="s">
        <v>45</v>
      </c>
      <c r="C144" s="4" t="s">
        <v>13</v>
      </c>
      <c r="D144" s="4" t="s">
        <v>23</v>
      </c>
      <c r="E144" s="4">
        <v>1161.67</v>
      </c>
      <c r="F144" s="4">
        <v>19</v>
      </c>
      <c r="G144" s="4">
        <v>0.2</v>
      </c>
      <c r="H144" s="6">
        <v>45647</v>
      </c>
      <c r="I144" s="4">
        <v>232.33</v>
      </c>
    </row>
    <row r="145" spans="1:9" ht="15.75" customHeight="1" x14ac:dyDescent="0.2">
      <c r="A145" s="4" t="s">
        <v>51</v>
      </c>
      <c r="B145" s="4" t="s">
        <v>47</v>
      </c>
      <c r="C145" s="4" t="s">
        <v>36</v>
      </c>
      <c r="D145" s="4" t="s">
        <v>41</v>
      </c>
      <c r="E145" s="4">
        <v>388.23</v>
      </c>
      <c r="F145" s="4">
        <v>16</v>
      </c>
      <c r="G145" s="4">
        <v>0.05</v>
      </c>
      <c r="H145" s="6">
        <v>45650</v>
      </c>
      <c r="I145" s="4">
        <v>165.97</v>
      </c>
    </row>
    <row r="146" spans="1:9" ht="15.75" customHeight="1" x14ac:dyDescent="0.2">
      <c r="A146" s="4" t="s">
        <v>74</v>
      </c>
      <c r="B146" s="4" t="s">
        <v>33</v>
      </c>
      <c r="C146" s="4" t="s">
        <v>26</v>
      </c>
      <c r="D146" s="4" t="s">
        <v>17</v>
      </c>
      <c r="E146" s="4">
        <v>1589.42</v>
      </c>
      <c r="F146" s="4">
        <v>6</v>
      </c>
      <c r="G146" s="4">
        <v>0.15</v>
      </c>
      <c r="H146" s="6">
        <v>45651</v>
      </c>
      <c r="I146" s="4">
        <v>675.5</v>
      </c>
    </row>
    <row r="147" spans="1:9" ht="15.75" customHeight="1" x14ac:dyDescent="0.2">
      <c r="A147" s="4" t="s">
        <v>30</v>
      </c>
      <c r="B147" s="4" t="s">
        <v>73</v>
      </c>
      <c r="C147" s="4" t="s">
        <v>26</v>
      </c>
      <c r="D147" s="4" t="s">
        <v>17</v>
      </c>
      <c r="E147" s="4">
        <v>336.66</v>
      </c>
      <c r="F147" s="4">
        <v>13</v>
      </c>
      <c r="G147" s="4">
        <v>0.2</v>
      </c>
      <c r="H147" s="6">
        <v>45651</v>
      </c>
      <c r="I147" s="4">
        <v>134.66</v>
      </c>
    </row>
    <row r="148" spans="1:9" ht="15.75" customHeight="1" x14ac:dyDescent="0.2">
      <c r="A148" s="4" t="s">
        <v>51</v>
      </c>
      <c r="B148" s="4" t="s">
        <v>25</v>
      </c>
      <c r="C148" s="4" t="s">
        <v>13</v>
      </c>
      <c r="D148" s="4" t="s">
        <v>14</v>
      </c>
      <c r="E148" s="4">
        <v>1353.79</v>
      </c>
      <c r="F148" s="4">
        <v>14</v>
      </c>
      <c r="G148" s="4">
        <v>0.1</v>
      </c>
      <c r="H148" s="6">
        <v>45656</v>
      </c>
      <c r="I148" s="4">
        <v>487.36</v>
      </c>
    </row>
    <row r="149" spans="1:9" ht="15.75" customHeight="1" x14ac:dyDescent="0.2">
      <c r="A149" s="4" t="s">
        <v>65</v>
      </c>
      <c r="B149" s="4" t="s">
        <v>71</v>
      </c>
      <c r="C149" s="4" t="s">
        <v>36</v>
      </c>
      <c r="D149" s="4" t="s">
        <v>17</v>
      </c>
      <c r="E149" s="4">
        <v>662.61</v>
      </c>
      <c r="F149" s="4">
        <v>11</v>
      </c>
      <c r="G149" s="4">
        <v>0.05</v>
      </c>
      <c r="H149" s="6">
        <v>45658</v>
      </c>
      <c r="I149" s="4">
        <v>314.74</v>
      </c>
    </row>
    <row r="150" spans="1:9" ht="15.75" customHeight="1" x14ac:dyDescent="0.2">
      <c r="A150" s="4" t="s">
        <v>54</v>
      </c>
      <c r="B150" s="4" t="s">
        <v>50</v>
      </c>
      <c r="C150" s="4" t="s">
        <v>26</v>
      </c>
      <c r="D150" s="4" t="s">
        <v>41</v>
      </c>
      <c r="E150" s="4">
        <v>309.42</v>
      </c>
      <c r="F150" s="4">
        <v>1</v>
      </c>
      <c r="G150" s="4">
        <v>0.2</v>
      </c>
      <c r="H150" s="6">
        <v>45658</v>
      </c>
      <c r="I150" s="4">
        <v>111.39</v>
      </c>
    </row>
    <row r="151" spans="1:9" ht="15.75" customHeight="1" x14ac:dyDescent="0.2">
      <c r="A151" s="4" t="s">
        <v>65</v>
      </c>
      <c r="B151" s="4" t="s">
        <v>31</v>
      </c>
      <c r="C151" s="4" t="s">
        <v>26</v>
      </c>
      <c r="D151" s="4" t="s">
        <v>14</v>
      </c>
      <c r="E151" s="4">
        <v>884.63</v>
      </c>
      <c r="F151" s="4">
        <v>18</v>
      </c>
      <c r="G151" s="4">
        <v>0.1</v>
      </c>
      <c r="H151" s="6">
        <v>45659</v>
      </c>
      <c r="I151" s="4">
        <v>318.47000000000003</v>
      </c>
    </row>
    <row r="152" spans="1:9" ht="15.75" customHeight="1" x14ac:dyDescent="0.2">
      <c r="A152" s="4" t="s">
        <v>54</v>
      </c>
      <c r="B152" s="4" t="s">
        <v>25</v>
      </c>
      <c r="C152" s="4" t="s">
        <v>36</v>
      </c>
      <c r="D152" s="4" t="s">
        <v>41</v>
      </c>
      <c r="E152" s="4">
        <v>745.05</v>
      </c>
      <c r="F152" s="4">
        <v>10</v>
      </c>
      <c r="G152" s="4">
        <v>0.1</v>
      </c>
      <c r="H152" s="6">
        <v>45660</v>
      </c>
      <c r="I152" s="4">
        <v>301.75</v>
      </c>
    </row>
    <row r="153" spans="1:9" ht="15.75" customHeight="1" x14ac:dyDescent="0.2">
      <c r="A153" s="4" t="s">
        <v>62</v>
      </c>
      <c r="B153" s="4" t="s">
        <v>19</v>
      </c>
      <c r="C153" s="4" t="s">
        <v>22</v>
      </c>
      <c r="D153" s="4" t="s">
        <v>17</v>
      </c>
      <c r="E153" s="4">
        <v>870.23</v>
      </c>
      <c r="F153" s="4">
        <v>5</v>
      </c>
      <c r="G153" s="4">
        <v>0.05</v>
      </c>
      <c r="H153" s="6">
        <v>45660</v>
      </c>
      <c r="I153" s="4">
        <v>413.36</v>
      </c>
    </row>
    <row r="154" spans="1:9" ht="15.75" customHeight="1" x14ac:dyDescent="0.2">
      <c r="A154" s="4" t="s">
        <v>37</v>
      </c>
      <c r="B154" s="4" t="s">
        <v>31</v>
      </c>
      <c r="C154" s="4" t="s">
        <v>13</v>
      </c>
      <c r="D154" s="4" t="s">
        <v>29</v>
      </c>
      <c r="E154" s="4">
        <v>862.19</v>
      </c>
      <c r="F154" s="4">
        <v>18</v>
      </c>
      <c r="G154" s="4">
        <v>0.05</v>
      </c>
      <c r="H154" s="6">
        <v>45663</v>
      </c>
      <c r="I154" s="4">
        <v>286.68</v>
      </c>
    </row>
    <row r="155" spans="1:9" ht="15.75" customHeight="1" x14ac:dyDescent="0.2">
      <c r="A155" s="4" t="s">
        <v>75</v>
      </c>
      <c r="B155" s="4" t="s">
        <v>61</v>
      </c>
      <c r="C155" s="4" t="s">
        <v>26</v>
      </c>
      <c r="D155" s="4" t="s">
        <v>17</v>
      </c>
      <c r="E155" s="4">
        <v>1171.18</v>
      </c>
      <c r="F155" s="4">
        <v>19</v>
      </c>
      <c r="G155" s="4">
        <v>0.05</v>
      </c>
      <c r="H155" s="6">
        <v>45667</v>
      </c>
      <c r="I155" s="4">
        <v>556.30999999999995</v>
      </c>
    </row>
    <row r="156" spans="1:9" ht="15.75" customHeight="1" x14ac:dyDescent="0.2">
      <c r="A156" s="4" t="s">
        <v>60</v>
      </c>
      <c r="B156" s="4" t="s">
        <v>16</v>
      </c>
      <c r="C156" s="4" t="s">
        <v>22</v>
      </c>
      <c r="D156" s="4" t="s">
        <v>29</v>
      </c>
      <c r="E156" s="4">
        <v>1054.56</v>
      </c>
      <c r="F156" s="4">
        <v>11</v>
      </c>
      <c r="G156" s="4">
        <v>0.1</v>
      </c>
      <c r="H156" s="6">
        <v>45669</v>
      </c>
      <c r="I156" s="4">
        <v>332.19</v>
      </c>
    </row>
    <row r="157" spans="1:9" ht="15.75" customHeight="1" x14ac:dyDescent="0.2">
      <c r="A157" s="4" t="s">
        <v>60</v>
      </c>
      <c r="B157" s="4" t="s">
        <v>25</v>
      </c>
      <c r="C157" s="4" t="s">
        <v>26</v>
      </c>
      <c r="D157" s="4" t="s">
        <v>23</v>
      </c>
      <c r="E157" s="4">
        <v>1681.21</v>
      </c>
      <c r="F157" s="4">
        <v>5</v>
      </c>
      <c r="G157" s="4">
        <v>0.2</v>
      </c>
      <c r="H157" s="6">
        <v>45670</v>
      </c>
      <c r="I157" s="4">
        <v>336.24</v>
      </c>
    </row>
    <row r="158" spans="1:9" ht="15.75" customHeight="1" x14ac:dyDescent="0.2">
      <c r="A158" s="4" t="s">
        <v>60</v>
      </c>
      <c r="B158" s="4" t="s">
        <v>38</v>
      </c>
      <c r="C158" s="4" t="s">
        <v>13</v>
      </c>
      <c r="D158" s="4" t="s">
        <v>17</v>
      </c>
      <c r="E158" s="4">
        <v>379.77</v>
      </c>
      <c r="F158" s="4">
        <v>9</v>
      </c>
      <c r="G158" s="4">
        <v>0.05</v>
      </c>
      <c r="H158" s="6">
        <v>45673</v>
      </c>
      <c r="I158" s="4">
        <v>180.39</v>
      </c>
    </row>
    <row r="159" spans="1:9" ht="15.75" customHeight="1" x14ac:dyDescent="0.2">
      <c r="A159" s="4" t="s">
        <v>46</v>
      </c>
      <c r="B159" s="4" t="s">
        <v>47</v>
      </c>
      <c r="C159" s="4" t="s">
        <v>36</v>
      </c>
      <c r="D159" s="4" t="s">
        <v>17</v>
      </c>
      <c r="E159" s="4">
        <v>1076.33</v>
      </c>
      <c r="F159" s="4">
        <v>2</v>
      </c>
      <c r="G159" s="4">
        <v>0.1</v>
      </c>
      <c r="H159" s="6">
        <v>45674</v>
      </c>
      <c r="I159" s="4">
        <v>484.35</v>
      </c>
    </row>
    <row r="160" spans="1:9" ht="15.75" customHeight="1" x14ac:dyDescent="0.2">
      <c r="A160" s="4" t="s">
        <v>46</v>
      </c>
      <c r="B160" s="4" t="s">
        <v>33</v>
      </c>
      <c r="C160" s="4" t="s">
        <v>36</v>
      </c>
      <c r="D160" s="4" t="s">
        <v>41</v>
      </c>
      <c r="E160" s="4">
        <v>1250.71</v>
      </c>
      <c r="F160" s="4">
        <v>7</v>
      </c>
      <c r="G160" s="4">
        <v>0</v>
      </c>
      <c r="H160" s="6">
        <v>45674</v>
      </c>
      <c r="I160" s="4">
        <v>562.82000000000005</v>
      </c>
    </row>
    <row r="161" spans="1:9" ht="15.75" customHeight="1" x14ac:dyDescent="0.2">
      <c r="A161" s="4" t="s">
        <v>42</v>
      </c>
      <c r="B161" s="4" t="s">
        <v>19</v>
      </c>
      <c r="C161" s="4" t="s">
        <v>22</v>
      </c>
      <c r="D161" s="4" t="s">
        <v>17</v>
      </c>
      <c r="E161" s="4">
        <v>1118.3399999999999</v>
      </c>
      <c r="F161" s="4">
        <v>6</v>
      </c>
      <c r="G161" s="4">
        <v>0.2</v>
      </c>
      <c r="H161" s="6">
        <v>45674</v>
      </c>
      <c r="I161" s="4">
        <v>447.34</v>
      </c>
    </row>
    <row r="162" spans="1:9" ht="15.75" customHeight="1" x14ac:dyDescent="0.2">
      <c r="A162" s="4" t="s">
        <v>72</v>
      </c>
      <c r="B162" s="4" t="s">
        <v>55</v>
      </c>
      <c r="C162" s="4" t="s">
        <v>26</v>
      </c>
      <c r="D162" s="4" t="s">
        <v>17</v>
      </c>
      <c r="E162" s="4">
        <v>1622.62</v>
      </c>
      <c r="F162" s="4">
        <v>12</v>
      </c>
      <c r="G162" s="4">
        <v>0.2</v>
      </c>
      <c r="H162" s="6">
        <v>45677</v>
      </c>
      <c r="I162" s="4">
        <v>649.04999999999995</v>
      </c>
    </row>
    <row r="163" spans="1:9" ht="15.75" customHeight="1" x14ac:dyDescent="0.2">
      <c r="A163" s="4" t="s">
        <v>77</v>
      </c>
      <c r="B163" s="4" t="s">
        <v>50</v>
      </c>
      <c r="C163" s="4" t="s">
        <v>26</v>
      </c>
      <c r="D163" s="4" t="s">
        <v>14</v>
      </c>
      <c r="E163" s="4">
        <v>640.64</v>
      </c>
      <c r="F163" s="4">
        <v>11</v>
      </c>
      <c r="G163" s="4">
        <v>0.2</v>
      </c>
      <c r="H163" s="6">
        <v>45678</v>
      </c>
      <c r="I163" s="4">
        <v>205</v>
      </c>
    </row>
    <row r="164" spans="1:9" ht="15.75" customHeight="1" x14ac:dyDescent="0.2">
      <c r="A164" s="4" t="s">
        <v>24</v>
      </c>
      <c r="B164" s="4" t="s">
        <v>45</v>
      </c>
      <c r="C164" s="4" t="s">
        <v>13</v>
      </c>
      <c r="D164" s="4" t="s">
        <v>17</v>
      </c>
      <c r="E164" s="4">
        <v>585.16</v>
      </c>
      <c r="F164" s="4">
        <v>17</v>
      </c>
      <c r="G164" s="4">
        <v>0.1</v>
      </c>
      <c r="H164" s="6">
        <v>45684</v>
      </c>
      <c r="I164" s="4">
        <v>263.32</v>
      </c>
    </row>
    <row r="165" spans="1:9" ht="15.75" customHeight="1" x14ac:dyDescent="0.2">
      <c r="A165" s="4" t="s">
        <v>24</v>
      </c>
      <c r="B165" s="4" t="s">
        <v>33</v>
      </c>
      <c r="C165" s="4" t="s">
        <v>20</v>
      </c>
      <c r="D165" s="4" t="s">
        <v>17</v>
      </c>
      <c r="E165" s="4">
        <v>1109.98</v>
      </c>
      <c r="F165" s="4">
        <v>5</v>
      </c>
      <c r="G165" s="4">
        <v>0.2</v>
      </c>
      <c r="H165" s="6">
        <v>45690</v>
      </c>
      <c r="I165" s="4">
        <v>443.99</v>
      </c>
    </row>
    <row r="166" spans="1:9" ht="15.75" customHeight="1" x14ac:dyDescent="0.2">
      <c r="A166" s="4" t="s">
        <v>60</v>
      </c>
      <c r="B166" s="4" t="s">
        <v>47</v>
      </c>
      <c r="C166" s="4" t="s">
        <v>20</v>
      </c>
      <c r="D166" s="4" t="s">
        <v>14</v>
      </c>
      <c r="E166" s="4">
        <v>1098.08</v>
      </c>
      <c r="F166" s="4">
        <v>9</v>
      </c>
      <c r="G166" s="4">
        <v>0.1</v>
      </c>
      <c r="H166" s="6">
        <v>45692</v>
      </c>
      <c r="I166" s="4">
        <v>395.31</v>
      </c>
    </row>
    <row r="167" spans="1:9" ht="15.75" customHeight="1" x14ac:dyDescent="0.2">
      <c r="A167" s="4" t="s">
        <v>67</v>
      </c>
      <c r="B167" s="4" t="s">
        <v>50</v>
      </c>
      <c r="C167" s="4" t="s">
        <v>13</v>
      </c>
      <c r="D167" s="4" t="s">
        <v>41</v>
      </c>
      <c r="E167" s="4">
        <v>827.25</v>
      </c>
      <c r="F167" s="4">
        <v>7</v>
      </c>
      <c r="G167" s="4">
        <v>0.1</v>
      </c>
      <c r="H167" s="6">
        <v>45693</v>
      </c>
      <c r="I167" s="4">
        <v>335.04</v>
      </c>
    </row>
    <row r="168" spans="1:9" ht="15.75" customHeight="1" x14ac:dyDescent="0.2">
      <c r="A168" s="4" t="s">
        <v>72</v>
      </c>
      <c r="B168" s="4" t="s">
        <v>31</v>
      </c>
      <c r="C168" s="4" t="s">
        <v>36</v>
      </c>
      <c r="D168" s="4" t="s">
        <v>17</v>
      </c>
      <c r="E168" s="4">
        <v>741.88</v>
      </c>
      <c r="F168" s="4">
        <v>16</v>
      </c>
      <c r="G168" s="4">
        <v>0.1</v>
      </c>
      <c r="H168" s="6">
        <v>45695</v>
      </c>
      <c r="I168" s="4">
        <v>333.85</v>
      </c>
    </row>
    <row r="169" spans="1:9" ht="15.75" customHeight="1" x14ac:dyDescent="0.2">
      <c r="A169" s="4" t="s">
        <v>74</v>
      </c>
      <c r="B169" s="4" t="s">
        <v>12</v>
      </c>
      <c r="C169" s="4" t="s">
        <v>20</v>
      </c>
      <c r="D169" s="4" t="s">
        <v>41</v>
      </c>
      <c r="E169" s="4">
        <v>1311.26</v>
      </c>
      <c r="F169" s="4">
        <v>6</v>
      </c>
      <c r="G169" s="4">
        <v>0.1</v>
      </c>
      <c r="H169" s="6">
        <v>45698</v>
      </c>
      <c r="I169" s="4">
        <v>531.05999999999995</v>
      </c>
    </row>
    <row r="170" spans="1:9" ht="15.75" customHeight="1" x14ac:dyDescent="0.2">
      <c r="A170" s="4" t="s">
        <v>74</v>
      </c>
      <c r="B170" s="4" t="s">
        <v>33</v>
      </c>
      <c r="C170" s="4" t="s">
        <v>22</v>
      </c>
      <c r="D170" s="4" t="s">
        <v>41</v>
      </c>
      <c r="E170" s="4">
        <v>573.32000000000005</v>
      </c>
      <c r="F170" s="4">
        <v>19</v>
      </c>
      <c r="G170" s="4">
        <v>0.1</v>
      </c>
      <c r="H170" s="6">
        <v>45703</v>
      </c>
      <c r="I170" s="4">
        <v>232.19</v>
      </c>
    </row>
    <row r="171" spans="1:9" ht="15.75" customHeight="1" x14ac:dyDescent="0.2">
      <c r="A171" s="4" t="s">
        <v>54</v>
      </c>
      <c r="B171" s="4" t="s">
        <v>25</v>
      </c>
      <c r="C171" s="4" t="s">
        <v>13</v>
      </c>
      <c r="D171" s="4" t="s">
        <v>23</v>
      </c>
      <c r="E171" s="4">
        <v>1115.22</v>
      </c>
      <c r="F171" s="4">
        <v>14</v>
      </c>
      <c r="G171" s="4">
        <v>0.2</v>
      </c>
      <c r="H171" s="6">
        <v>45705</v>
      </c>
      <c r="I171" s="4">
        <v>223.04</v>
      </c>
    </row>
    <row r="172" spans="1:9" ht="15.75" customHeight="1" x14ac:dyDescent="0.2">
      <c r="A172" s="4" t="s">
        <v>15</v>
      </c>
      <c r="B172" s="4" t="s">
        <v>47</v>
      </c>
      <c r="C172" s="4" t="s">
        <v>26</v>
      </c>
      <c r="D172" s="4" t="s">
        <v>17</v>
      </c>
      <c r="E172" s="4">
        <v>845.84</v>
      </c>
      <c r="F172" s="4">
        <v>4</v>
      </c>
      <c r="G172" s="4">
        <v>0</v>
      </c>
      <c r="H172" s="6">
        <v>45707</v>
      </c>
      <c r="I172" s="4">
        <v>422.92</v>
      </c>
    </row>
    <row r="173" spans="1:9" ht="15.75" customHeight="1" x14ac:dyDescent="0.2">
      <c r="A173" s="4" t="s">
        <v>32</v>
      </c>
      <c r="B173" s="4" t="s">
        <v>57</v>
      </c>
      <c r="C173" s="4" t="s">
        <v>13</v>
      </c>
      <c r="D173" s="4" t="s">
        <v>23</v>
      </c>
      <c r="E173" s="4">
        <v>1029.8</v>
      </c>
      <c r="F173" s="4">
        <v>3</v>
      </c>
      <c r="G173" s="4">
        <v>0</v>
      </c>
      <c r="H173" s="6">
        <v>45708</v>
      </c>
      <c r="I173" s="4">
        <v>257.45</v>
      </c>
    </row>
    <row r="174" spans="1:9" ht="15.75" customHeight="1" x14ac:dyDescent="0.2">
      <c r="A174" s="4" t="s">
        <v>34</v>
      </c>
      <c r="B174" s="4" t="s">
        <v>33</v>
      </c>
      <c r="C174" s="4" t="s">
        <v>26</v>
      </c>
      <c r="D174" s="4" t="s">
        <v>14</v>
      </c>
      <c r="E174" s="4">
        <v>1189.83</v>
      </c>
      <c r="F174" s="4">
        <v>2</v>
      </c>
      <c r="G174" s="4">
        <v>0.2</v>
      </c>
      <c r="H174" s="6">
        <v>45709</v>
      </c>
      <c r="I174" s="4">
        <v>380.75</v>
      </c>
    </row>
    <row r="175" spans="1:9" ht="15.75" customHeight="1" x14ac:dyDescent="0.2">
      <c r="A175" s="4" t="s">
        <v>69</v>
      </c>
      <c r="B175" s="4" t="s">
        <v>45</v>
      </c>
      <c r="C175" s="4" t="s">
        <v>22</v>
      </c>
      <c r="D175" s="4" t="s">
        <v>14</v>
      </c>
      <c r="E175" s="4">
        <v>704.28</v>
      </c>
      <c r="F175" s="4">
        <v>15</v>
      </c>
      <c r="G175" s="4">
        <v>0.2</v>
      </c>
      <c r="H175" s="6">
        <v>45712</v>
      </c>
      <c r="I175" s="4">
        <v>225.37</v>
      </c>
    </row>
    <row r="176" spans="1:9" ht="15.75" customHeight="1" x14ac:dyDescent="0.2">
      <c r="A176" s="4" t="s">
        <v>67</v>
      </c>
      <c r="B176" s="4" t="s">
        <v>49</v>
      </c>
      <c r="C176" s="4" t="s">
        <v>36</v>
      </c>
      <c r="D176" s="4" t="s">
        <v>41</v>
      </c>
      <c r="E176" s="4">
        <v>1618.22</v>
      </c>
      <c r="F176" s="4">
        <v>12</v>
      </c>
      <c r="G176" s="4">
        <v>0.2</v>
      </c>
      <c r="H176" s="6">
        <v>45712</v>
      </c>
      <c r="I176" s="4">
        <v>582.55999999999995</v>
      </c>
    </row>
    <row r="177" spans="1:9" ht="15.75" customHeight="1" x14ac:dyDescent="0.2">
      <c r="A177" s="4" t="s">
        <v>75</v>
      </c>
      <c r="B177" s="4" t="s">
        <v>55</v>
      </c>
      <c r="C177" s="4" t="s">
        <v>36</v>
      </c>
      <c r="D177" s="4" t="s">
        <v>14</v>
      </c>
      <c r="E177" s="4">
        <v>1014.43</v>
      </c>
      <c r="F177" s="4">
        <v>2</v>
      </c>
      <c r="G177" s="4">
        <v>0.15</v>
      </c>
      <c r="H177" s="6">
        <v>45713</v>
      </c>
      <c r="I177" s="4">
        <v>344.91</v>
      </c>
    </row>
    <row r="178" spans="1:9" ht="15.75" customHeight="1" x14ac:dyDescent="0.2">
      <c r="A178" s="4" t="s">
        <v>77</v>
      </c>
      <c r="B178" s="4" t="s">
        <v>33</v>
      </c>
      <c r="C178" s="4" t="s">
        <v>36</v>
      </c>
      <c r="D178" s="4" t="s">
        <v>17</v>
      </c>
      <c r="E178" s="4">
        <v>826.97</v>
      </c>
      <c r="F178" s="4">
        <v>18</v>
      </c>
      <c r="G178" s="4">
        <v>0.2</v>
      </c>
      <c r="H178" s="6">
        <v>45715</v>
      </c>
      <c r="I178" s="4">
        <v>330.79</v>
      </c>
    </row>
    <row r="179" spans="1:9" ht="15.75" customHeight="1" x14ac:dyDescent="0.2">
      <c r="A179" s="4" t="s">
        <v>18</v>
      </c>
      <c r="B179" s="4" t="s">
        <v>33</v>
      </c>
      <c r="C179" s="4" t="s">
        <v>36</v>
      </c>
      <c r="D179" s="4" t="s">
        <v>17</v>
      </c>
      <c r="E179" s="4">
        <v>1022.23</v>
      </c>
      <c r="F179" s="4">
        <v>8</v>
      </c>
      <c r="G179" s="4">
        <v>0.1</v>
      </c>
      <c r="H179" s="6">
        <v>45717</v>
      </c>
      <c r="I179" s="4">
        <v>460</v>
      </c>
    </row>
    <row r="180" spans="1:9" ht="15.75" customHeight="1" x14ac:dyDescent="0.2">
      <c r="A180" s="4" t="s">
        <v>74</v>
      </c>
      <c r="B180" s="4" t="s">
        <v>31</v>
      </c>
      <c r="C180" s="4" t="s">
        <v>20</v>
      </c>
      <c r="D180" s="4" t="s">
        <v>14</v>
      </c>
      <c r="E180" s="4">
        <v>1099.69</v>
      </c>
      <c r="F180" s="4">
        <v>6</v>
      </c>
      <c r="G180" s="4">
        <v>0</v>
      </c>
      <c r="H180" s="6">
        <v>45718</v>
      </c>
      <c r="I180" s="4">
        <v>439.88</v>
      </c>
    </row>
    <row r="181" spans="1:9" ht="15.75" customHeight="1" x14ac:dyDescent="0.2">
      <c r="A181" s="4" t="s">
        <v>54</v>
      </c>
      <c r="B181" s="4" t="s">
        <v>66</v>
      </c>
      <c r="C181" s="4" t="s">
        <v>26</v>
      </c>
      <c r="D181" s="4" t="s">
        <v>14</v>
      </c>
      <c r="E181" s="4">
        <v>710.52</v>
      </c>
      <c r="F181" s="4">
        <v>8</v>
      </c>
      <c r="G181" s="4">
        <v>0.1</v>
      </c>
      <c r="H181" s="6">
        <v>45721</v>
      </c>
      <c r="I181" s="4">
        <v>255.79</v>
      </c>
    </row>
    <row r="182" spans="1:9" ht="15.75" customHeight="1" x14ac:dyDescent="0.2">
      <c r="A182" s="4" t="s">
        <v>54</v>
      </c>
      <c r="B182" s="4" t="s">
        <v>61</v>
      </c>
      <c r="C182" s="4" t="s">
        <v>26</v>
      </c>
      <c r="D182" s="4" t="s">
        <v>14</v>
      </c>
      <c r="E182" s="4">
        <v>499.18</v>
      </c>
      <c r="F182" s="4">
        <v>15</v>
      </c>
      <c r="G182" s="4">
        <v>0.2</v>
      </c>
      <c r="H182" s="6">
        <v>45724</v>
      </c>
      <c r="I182" s="4">
        <v>159.74</v>
      </c>
    </row>
    <row r="183" spans="1:9" ht="15.75" customHeight="1" x14ac:dyDescent="0.2">
      <c r="A183" s="4" t="s">
        <v>39</v>
      </c>
      <c r="B183" s="4" t="s">
        <v>40</v>
      </c>
      <c r="C183" s="4" t="s">
        <v>22</v>
      </c>
      <c r="D183" s="4" t="s">
        <v>14</v>
      </c>
      <c r="E183" s="4">
        <v>1064.19</v>
      </c>
      <c r="F183" s="4">
        <v>18</v>
      </c>
      <c r="G183" s="4">
        <v>0.05</v>
      </c>
      <c r="H183" s="6">
        <v>45725</v>
      </c>
      <c r="I183" s="4">
        <v>404.39</v>
      </c>
    </row>
    <row r="184" spans="1:9" ht="15.75" customHeight="1" x14ac:dyDescent="0.2">
      <c r="A184" s="4" t="s">
        <v>69</v>
      </c>
      <c r="B184" s="4" t="s">
        <v>40</v>
      </c>
      <c r="C184" s="4" t="s">
        <v>20</v>
      </c>
      <c r="D184" s="4" t="s">
        <v>41</v>
      </c>
      <c r="E184" s="4">
        <v>438.76</v>
      </c>
      <c r="F184" s="4">
        <v>18</v>
      </c>
      <c r="G184" s="4">
        <v>0.05</v>
      </c>
      <c r="H184" s="6">
        <v>45726</v>
      </c>
      <c r="I184" s="4">
        <v>187.57</v>
      </c>
    </row>
    <row r="185" spans="1:9" ht="15.75" customHeight="1" x14ac:dyDescent="0.2">
      <c r="A185" s="4" t="s">
        <v>43</v>
      </c>
      <c r="B185" s="4" t="s">
        <v>57</v>
      </c>
      <c r="C185" s="4" t="s">
        <v>13</v>
      </c>
      <c r="D185" s="4" t="s">
        <v>17</v>
      </c>
      <c r="E185" s="4">
        <v>864.98</v>
      </c>
      <c r="F185" s="4">
        <v>2</v>
      </c>
      <c r="G185" s="4">
        <v>0.05</v>
      </c>
      <c r="H185" s="6">
        <v>45727</v>
      </c>
      <c r="I185" s="4">
        <v>410.87</v>
      </c>
    </row>
    <row r="186" spans="1:9" ht="15.75" customHeight="1" x14ac:dyDescent="0.2">
      <c r="A186" s="4" t="s">
        <v>59</v>
      </c>
      <c r="B186" s="4" t="s">
        <v>57</v>
      </c>
      <c r="C186" s="4" t="s">
        <v>13</v>
      </c>
      <c r="D186" s="4" t="s">
        <v>29</v>
      </c>
      <c r="E186" s="4">
        <v>984.93</v>
      </c>
      <c r="F186" s="4">
        <v>14</v>
      </c>
      <c r="G186" s="4">
        <v>0.2</v>
      </c>
      <c r="H186" s="6">
        <v>45733</v>
      </c>
      <c r="I186" s="4">
        <v>275.77999999999997</v>
      </c>
    </row>
    <row r="187" spans="1:9" ht="15.75" customHeight="1" x14ac:dyDescent="0.2">
      <c r="A187" s="4" t="s">
        <v>27</v>
      </c>
      <c r="B187" s="4" t="s">
        <v>57</v>
      </c>
      <c r="C187" s="4" t="s">
        <v>13</v>
      </c>
      <c r="D187" s="4" t="s">
        <v>17</v>
      </c>
      <c r="E187" s="4">
        <v>1493.49</v>
      </c>
      <c r="F187" s="4">
        <v>18</v>
      </c>
      <c r="G187" s="4">
        <v>0</v>
      </c>
      <c r="H187" s="6">
        <v>45734</v>
      </c>
      <c r="I187" s="4">
        <v>746.74</v>
      </c>
    </row>
    <row r="188" spans="1:9" ht="15.75" customHeight="1" x14ac:dyDescent="0.2">
      <c r="A188" s="4" t="s">
        <v>34</v>
      </c>
      <c r="B188" s="4" t="s">
        <v>55</v>
      </c>
      <c r="C188" s="4" t="s">
        <v>22</v>
      </c>
      <c r="D188" s="4" t="s">
        <v>17</v>
      </c>
      <c r="E188" s="4">
        <v>689.43</v>
      </c>
      <c r="F188" s="4">
        <v>9</v>
      </c>
      <c r="G188" s="4">
        <v>0.1</v>
      </c>
      <c r="H188" s="6">
        <v>45736</v>
      </c>
      <c r="I188" s="4">
        <v>310.24</v>
      </c>
    </row>
    <row r="189" spans="1:9" ht="15.75" customHeight="1" x14ac:dyDescent="0.2">
      <c r="A189" s="4" t="s">
        <v>42</v>
      </c>
      <c r="B189" s="4" t="s">
        <v>61</v>
      </c>
      <c r="C189" s="4" t="s">
        <v>22</v>
      </c>
      <c r="D189" s="4" t="s">
        <v>17</v>
      </c>
      <c r="E189" s="4">
        <v>682.24</v>
      </c>
      <c r="F189" s="4">
        <v>1</v>
      </c>
      <c r="G189" s="4">
        <v>0</v>
      </c>
      <c r="H189" s="6">
        <v>45738</v>
      </c>
      <c r="I189" s="4">
        <v>341.12</v>
      </c>
    </row>
    <row r="190" spans="1:9" ht="15.75" customHeight="1" x14ac:dyDescent="0.2">
      <c r="A190" s="4" t="s">
        <v>43</v>
      </c>
      <c r="B190" s="4" t="s">
        <v>28</v>
      </c>
      <c r="C190" s="4" t="s">
        <v>26</v>
      </c>
      <c r="D190" s="4" t="s">
        <v>23</v>
      </c>
      <c r="E190" s="4">
        <v>458.54</v>
      </c>
      <c r="F190" s="4">
        <v>15</v>
      </c>
      <c r="G190" s="4">
        <v>0.2</v>
      </c>
      <c r="H190" s="6">
        <v>45741</v>
      </c>
      <c r="I190" s="4">
        <v>91.71</v>
      </c>
    </row>
    <row r="191" spans="1:9" ht="15.75" customHeight="1" x14ac:dyDescent="0.2">
      <c r="A191" s="4" t="s">
        <v>34</v>
      </c>
      <c r="B191" s="4" t="s">
        <v>28</v>
      </c>
      <c r="C191" s="4" t="s">
        <v>22</v>
      </c>
      <c r="D191" s="4" t="s">
        <v>29</v>
      </c>
      <c r="E191" s="4">
        <v>1184.25</v>
      </c>
      <c r="F191" s="4">
        <v>11</v>
      </c>
      <c r="G191" s="4">
        <v>0.2</v>
      </c>
      <c r="H191" s="6">
        <v>45742</v>
      </c>
      <c r="I191" s="4">
        <v>331.59</v>
      </c>
    </row>
    <row r="192" spans="1:9" ht="15.75" customHeight="1" x14ac:dyDescent="0.2">
      <c r="A192" s="4" t="s">
        <v>27</v>
      </c>
      <c r="B192" s="4" t="s">
        <v>12</v>
      </c>
      <c r="C192" s="4" t="s">
        <v>22</v>
      </c>
      <c r="D192" s="4" t="s">
        <v>17</v>
      </c>
      <c r="E192" s="4">
        <v>762.14</v>
      </c>
      <c r="F192" s="4">
        <v>9</v>
      </c>
      <c r="G192" s="4">
        <v>0</v>
      </c>
      <c r="H192" s="6">
        <v>45743</v>
      </c>
      <c r="I192" s="4">
        <v>381.07</v>
      </c>
    </row>
    <row r="193" spans="1:9" ht="15.75" customHeight="1" x14ac:dyDescent="0.2">
      <c r="A193" s="4" t="s">
        <v>24</v>
      </c>
      <c r="B193" s="4" t="s">
        <v>55</v>
      </c>
      <c r="C193" s="4" t="s">
        <v>26</v>
      </c>
      <c r="D193" s="4" t="s">
        <v>14</v>
      </c>
      <c r="E193" s="4">
        <v>750.71</v>
      </c>
      <c r="F193" s="4">
        <v>10</v>
      </c>
      <c r="G193" s="4">
        <v>0.15</v>
      </c>
      <c r="H193" s="6">
        <v>45743</v>
      </c>
      <c r="I193" s="4">
        <v>255.24</v>
      </c>
    </row>
    <row r="194" spans="1:9" ht="15.75" customHeight="1" x14ac:dyDescent="0.2">
      <c r="A194" s="4" t="s">
        <v>77</v>
      </c>
      <c r="B194" s="4" t="s">
        <v>73</v>
      </c>
      <c r="C194" s="4" t="s">
        <v>36</v>
      </c>
      <c r="D194" s="4" t="s">
        <v>17</v>
      </c>
      <c r="E194" s="4">
        <v>1456.94</v>
      </c>
      <c r="F194" s="4">
        <v>14</v>
      </c>
      <c r="G194" s="4">
        <v>0.05</v>
      </c>
      <c r="H194" s="6">
        <v>45745</v>
      </c>
      <c r="I194" s="4">
        <v>692.05</v>
      </c>
    </row>
    <row r="195" spans="1:9" ht="15.75" customHeight="1" x14ac:dyDescent="0.2">
      <c r="A195" s="4" t="s">
        <v>46</v>
      </c>
      <c r="B195" s="4" t="s">
        <v>63</v>
      </c>
      <c r="C195" s="4" t="s">
        <v>20</v>
      </c>
      <c r="D195" s="4" t="s">
        <v>29</v>
      </c>
      <c r="E195" s="4">
        <v>1093.3800000000001</v>
      </c>
      <c r="F195" s="4">
        <v>17</v>
      </c>
      <c r="G195" s="4">
        <v>0.1</v>
      </c>
      <c r="H195" s="6">
        <v>45745</v>
      </c>
      <c r="I195" s="4">
        <v>344.41</v>
      </c>
    </row>
    <row r="196" spans="1:9" ht="15.75" customHeight="1" x14ac:dyDescent="0.2">
      <c r="A196" s="4" t="s">
        <v>39</v>
      </c>
      <c r="B196" s="4" t="s">
        <v>45</v>
      </c>
      <c r="C196" s="4" t="s">
        <v>13</v>
      </c>
      <c r="D196" s="4" t="s">
        <v>17</v>
      </c>
      <c r="E196" s="4">
        <v>934.27</v>
      </c>
      <c r="F196" s="4">
        <v>8</v>
      </c>
      <c r="G196" s="4">
        <v>0.15</v>
      </c>
      <c r="H196" s="6">
        <v>45746</v>
      </c>
      <c r="I196" s="4">
        <v>397.06</v>
      </c>
    </row>
    <row r="197" spans="1:9" ht="15.75" customHeight="1" x14ac:dyDescent="0.2">
      <c r="A197" s="4" t="s">
        <v>72</v>
      </c>
      <c r="B197" s="4" t="s">
        <v>38</v>
      </c>
      <c r="C197" s="4" t="s">
        <v>36</v>
      </c>
      <c r="D197" s="4" t="s">
        <v>17</v>
      </c>
      <c r="E197" s="4">
        <v>1465.35</v>
      </c>
      <c r="F197" s="4">
        <v>8</v>
      </c>
      <c r="G197" s="4">
        <v>0.2</v>
      </c>
      <c r="H197" s="6">
        <v>45746</v>
      </c>
      <c r="I197" s="4">
        <v>586.14</v>
      </c>
    </row>
    <row r="198" spans="1:9" ht="15.75" customHeight="1" x14ac:dyDescent="0.2">
      <c r="A198" s="4" t="s">
        <v>54</v>
      </c>
      <c r="B198" s="4" t="s">
        <v>16</v>
      </c>
      <c r="C198" s="4" t="s">
        <v>22</v>
      </c>
      <c r="D198" s="4" t="s">
        <v>41</v>
      </c>
      <c r="E198" s="4">
        <v>740.8</v>
      </c>
      <c r="F198" s="4">
        <v>3</v>
      </c>
      <c r="G198" s="4">
        <v>0</v>
      </c>
      <c r="H198" s="6">
        <v>45749</v>
      </c>
      <c r="I198" s="4">
        <v>333.36</v>
      </c>
    </row>
    <row r="199" spans="1:9" ht="15.75" customHeight="1" x14ac:dyDescent="0.2">
      <c r="A199" s="4" t="s">
        <v>60</v>
      </c>
      <c r="B199" s="4" t="s">
        <v>45</v>
      </c>
      <c r="C199" s="4" t="s">
        <v>13</v>
      </c>
      <c r="D199" s="4" t="s">
        <v>41</v>
      </c>
      <c r="E199" s="4">
        <v>545.44000000000005</v>
      </c>
      <c r="F199" s="4">
        <v>17</v>
      </c>
      <c r="G199" s="4">
        <v>0</v>
      </c>
      <c r="H199" s="6">
        <v>45752</v>
      </c>
      <c r="I199" s="4">
        <v>245.45</v>
      </c>
    </row>
    <row r="200" spans="1:9" ht="15.75" customHeight="1" x14ac:dyDescent="0.2">
      <c r="A200" s="4" t="s">
        <v>37</v>
      </c>
      <c r="B200" s="4" t="s">
        <v>38</v>
      </c>
      <c r="C200" s="4" t="s">
        <v>20</v>
      </c>
      <c r="D200" s="4" t="s">
        <v>14</v>
      </c>
      <c r="E200" s="4">
        <v>997.61</v>
      </c>
      <c r="F200" s="4">
        <v>8</v>
      </c>
      <c r="G200" s="4">
        <v>0.05</v>
      </c>
      <c r="H200" s="6">
        <v>45752</v>
      </c>
      <c r="I200" s="4">
        <v>379.09</v>
      </c>
    </row>
    <row r="201" spans="1:9" ht="15.75" customHeight="1" x14ac:dyDescent="0.2">
      <c r="A201" s="4" t="s">
        <v>62</v>
      </c>
      <c r="B201" s="4" t="s">
        <v>38</v>
      </c>
      <c r="C201" s="4" t="s">
        <v>22</v>
      </c>
      <c r="D201" s="4" t="s">
        <v>17</v>
      </c>
      <c r="E201" s="4">
        <v>928.32</v>
      </c>
      <c r="F201" s="4">
        <v>2</v>
      </c>
      <c r="G201" s="4">
        <v>0.05</v>
      </c>
      <c r="H201" s="6">
        <v>45754</v>
      </c>
      <c r="I201" s="4">
        <v>440.95</v>
      </c>
    </row>
    <row r="202" spans="1:9" ht="15.75" customHeight="1" x14ac:dyDescent="0.2"/>
    <row r="203" spans="1:9" ht="15.75" customHeight="1" x14ac:dyDescent="0.2"/>
    <row r="204" spans="1:9" ht="15.75" customHeight="1" x14ac:dyDescent="0.2"/>
    <row r="205" spans="1:9" ht="15.75" customHeight="1" x14ac:dyDescent="0.2"/>
    <row r="206" spans="1:9" ht="15.75" customHeight="1" x14ac:dyDescent="0.2"/>
    <row r="207" spans="1:9" ht="15.75" customHeight="1" x14ac:dyDescent="0.2"/>
    <row r="208" spans="1:9"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9B50D-B43F-EF4C-A054-9F05778B54CA}">
  <dimension ref="A1:I31"/>
  <sheetViews>
    <sheetView workbookViewId="0">
      <selection activeCell="E2" sqref="E2:E31"/>
    </sheetView>
  </sheetViews>
  <sheetFormatPr baseColWidth="10" defaultRowHeight="15" x14ac:dyDescent="0.2"/>
  <cols>
    <col min="1" max="1" width="14.5" customWidth="1"/>
    <col min="2" max="3" width="21.6640625" customWidth="1"/>
    <col min="5" max="5" width="14.5" customWidth="1"/>
  </cols>
  <sheetData>
    <row r="1" spans="1:9" x14ac:dyDescent="0.2">
      <c r="A1" s="8" t="s">
        <v>1</v>
      </c>
      <c r="B1" s="7" t="s">
        <v>78</v>
      </c>
      <c r="C1" s="4" t="s">
        <v>79</v>
      </c>
      <c r="D1" s="8" t="s">
        <v>80</v>
      </c>
      <c r="E1" s="4" t="s">
        <v>81</v>
      </c>
      <c r="G1" t="str" cm="1">
        <f t="array" ref="G1:I30">_xlfn.SORTBY(A2:C31,C2:C31,-1)</f>
        <v>CUST015</v>
      </c>
      <c r="H1" t="str">
        <v>Linda Taylor</v>
      </c>
      <c r="I1">
        <v>11611.060000000001</v>
      </c>
    </row>
    <row r="2" spans="1:9" x14ac:dyDescent="0.2">
      <c r="A2" t="str" cm="1">
        <f t="array" ref="A2:A31">_xlfn._xlws.SORT(_xlfn.UNIQUE(Dataset!A2:A201))</f>
        <v>CUST001</v>
      </c>
      <c r="B2" t="str">
        <f>_xlfn.XLOOKUP(A2,Dataset!A:A,Dataset!B:B,"Not Found")</f>
        <v>Linda Wilson</v>
      </c>
      <c r="C2" s="9">
        <f>SUMIF(Dataset!$A:$A,A2,Dataset!$E:$E)</f>
        <v>6549.55</v>
      </c>
      <c r="D2" s="9">
        <f>_xlfn.RANK.EQ(C2,$C$2:$C$31,0)</f>
        <v>15</v>
      </c>
      <c r="E2" t="str">
        <f>IF(D2&lt;=10,"TOP 10","")</f>
        <v/>
      </c>
      <c r="G2" t="str">
        <v>CUST028</v>
      </c>
      <c r="H2" t="str">
        <v>Linda Taylor</v>
      </c>
      <c r="I2">
        <v>10293.870000000001</v>
      </c>
    </row>
    <row r="3" spans="1:9" x14ac:dyDescent="0.2">
      <c r="A3" t="str">
        <v>CUST002</v>
      </c>
      <c r="B3" t="str">
        <f>_xlfn.XLOOKUP(A3,Dataset!A:A,Dataset!B:B,"Not Found")</f>
        <v>Lisa Davis</v>
      </c>
      <c r="C3" s="9">
        <f>SUMIF(Dataset!$A:$A,A3,Dataset!$E:$E)</f>
        <v>6481.43</v>
      </c>
      <c r="D3" s="9">
        <f t="shared" ref="D3:D31" si="0">_xlfn.RANK.EQ(C3,$C$2:$C$31,0)</f>
        <v>17</v>
      </c>
      <c r="E3" t="str">
        <f t="shared" ref="E3:E31" si="1">IF(D3&lt;=10,"TOP 10","")</f>
        <v/>
      </c>
      <c r="G3" t="str">
        <v>CUST007</v>
      </c>
      <c r="H3" t="str">
        <v>Michael Anderson</v>
      </c>
      <c r="I3">
        <v>9941.8799999999992</v>
      </c>
    </row>
    <row r="4" spans="1:9" x14ac:dyDescent="0.2">
      <c r="A4" t="str">
        <v>CUST003</v>
      </c>
      <c r="B4" t="str">
        <f>_xlfn.XLOOKUP(A4,Dataset!A:A,Dataset!B:B,"Not Found")</f>
        <v>Emma Davis</v>
      </c>
      <c r="C4" s="9">
        <f>SUMIF(Dataset!$A:$A,A4,Dataset!$E:$E)</f>
        <v>8490.18</v>
      </c>
      <c r="D4" s="9">
        <f t="shared" si="0"/>
        <v>7</v>
      </c>
      <c r="E4" t="str">
        <f t="shared" si="1"/>
        <v>TOP 10</v>
      </c>
      <c r="G4" t="str">
        <v>CUST008</v>
      </c>
      <c r="H4" t="str">
        <v>Robert Anderson</v>
      </c>
      <c r="I4">
        <v>9760.7999999999993</v>
      </c>
    </row>
    <row r="5" spans="1:9" x14ac:dyDescent="0.2">
      <c r="A5" t="str">
        <v>CUST004</v>
      </c>
      <c r="B5" t="str">
        <f>_xlfn.XLOOKUP(A5,Dataset!A:A,Dataset!B:B,"Not Found")</f>
        <v>Lisa Thomas</v>
      </c>
      <c r="C5" s="9">
        <f>SUMIF(Dataset!$A:$A,A5,Dataset!$E:$E)</f>
        <v>7813.59</v>
      </c>
      <c r="D5" s="9">
        <f t="shared" si="0"/>
        <v>10</v>
      </c>
      <c r="E5" t="str">
        <f t="shared" si="1"/>
        <v>TOP 10</v>
      </c>
      <c r="G5" t="str">
        <v>CUST026</v>
      </c>
      <c r="H5" t="str">
        <v>Mary Davis</v>
      </c>
      <c r="I5">
        <v>9371.81</v>
      </c>
    </row>
    <row r="6" spans="1:9" x14ac:dyDescent="0.2">
      <c r="A6" t="str">
        <v>CUST005</v>
      </c>
      <c r="B6" t="str">
        <f>_xlfn.XLOOKUP(A6,Dataset!A:A,Dataset!B:B,"Not Found")</f>
        <v>Robert Anderson</v>
      </c>
      <c r="C6" s="9">
        <f>SUMIF(Dataset!$A:$A,A6,Dataset!$E:$E)</f>
        <v>6666.130000000001</v>
      </c>
      <c r="D6" s="9">
        <f t="shared" si="0"/>
        <v>14</v>
      </c>
      <c r="E6" t="str">
        <f t="shared" si="1"/>
        <v/>
      </c>
      <c r="G6" t="str">
        <v>CUST021</v>
      </c>
      <c r="H6" t="str">
        <v>Sarah Anderson</v>
      </c>
      <c r="I6">
        <v>8740.18</v>
      </c>
    </row>
    <row r="7" spans="1:9" x14ac:dyDescent="0.2">
      <c r="A7" t="str">
        <v>CUST006</v>
      </c>
      <c r="B7" t="str">
        <f>_xlfn.XLOOKUP(A7,Dataset!A:A,Dataset!B:B,"Not Found")</f>
        <v>Mary Jackson</v>
      </c>
      <c r="C7" s="9">
        <f>SUMIF(Dataset!$A:$A,A7,Dataset!$E:$E)</f>
        <v>2699.75</v>
      </c>
      <c r="D7" s="9">
        <f t="shared" si="0"/>
        <v>30</v>
      </c>
      <c r="E7" t="str">
        <f t="shared" si="1"/>
        <v/>
      </c>
      <c r="G7" t="str">
        <v>CUST003</v>
      </c>
      <c r="H7" t="str">
        <v>Emma Davis</v>
      </c>
      <c r="I7">
        <v>8490.18</v>
      </c>
    </row>
    <row r="8" spans="1:9" x14ac:dyDescent="0.2">
      <c r="A8" t="str">
        <v>CUST007</v>
      </c>
      <c r="B8" t="str">
        <f>_xlfn.XLOOKUP(A8,Dataset!A:A,Dataset!B:B,"Not Found")</f>
        <v>Michael Anderson</v>
      </c>
      <c r="C8" s="9">
        <f>SUMIF(Dataset!$A:$A,A8,Dataset!$E:$E)</f>
        <v>9941.8799999999992</v>
      </c>
      <c r="D8" s="9">
        <f t="shared" si="0"/>
        <v>3</v>
      </c>
      <c r="E8" t="str">
        <f t="shared" si="1"/>
        <v>TOP 10</v>
      </c>
      <c r="G8" t="str">
        <v>CUST012</v>
      </c>
      <c r="H8" t="str">
        <v>Robert Anderson</v>
      </c>
      <c r="I8">
        <v>8339</v>
      </c>
    </row>
    <row r="9" spans="1:9" x14ac:dyDescent="0.2">
      <c r="A9" t="str">
        <v>CUST008</v>
      </c>
      <c r="B9" t="str">
        <f>_xlfn.XLOOKUP(A9,Dataset!A:A,Dataset!B:B,"Not Found")</f>
        <v>Robert Anderson</v>
      </c>
      <c r="C9" s="9">
        <f>SUMIF(Dataset!$A:$A,A9,Dataset!$E:$E)</f>
        <v>9760.7999999999993</v>
      </c>
      <c r="D9" s="9">
        <f t="shared" si="0"/>
        <v>4</v>
      </c>
      <c r="E9" t="str">
        <f t="shared" si="1"/>
        <v>TOP 10</v>
      </c>
      <c r="G9" t="str">
        <v>CUST030</v>
      </c>
      <c r="H9" t="str">
        <v>James Wilson</v>
      </c>
      <c r="I9">
        <v>7928.71</v>
      </c>
    </row>
    <row r="10" spans="1:9" x14ac:dyDescent="0.2">
      <c r="A10" t="str">
        <v>CUST009</v>
      </c>
      <c r="B10" t="str">
        <f>_xlfn.XLOOKUP(A10,Dataset!A:A,Dataset!B:B,"Not Found")</f>
        <v>Linda Jackson</v>
      </c>
      <c r="C10" s="9">
        <f>SUMIF(Dataset!$A:$A,A10,Dataset!$E:$E)</f>
        <v>6505.2</v>
      </c>
      <c r="D10" s="9">
        <f t="shared" si="0"/>
        <v>16</v>
      </c>
      <c r="E10" t="str">
        <f t="shared" si="1"/>
        <v/>
      </c>
      <c r="G10" t="str">
        <v>CUST004</v>
      </c>
      <c r="H10" t="str">
        <v>Lisa Thomas</v>
      </c>
      <c r="I10">
        <v>7813.59</v>
      </c>
    </row>
    <row r="11" spans="1:9" x14ac:dyDescent="0.2">
      <c r="A11" t="str">
        <v>CUST010</v>
      </c>
      <c r="B11" t="str">
        <f>_xlfn.XLOOKUP(A11,Dataset!A:A,Dataset!B:B,"Not Found")</f>
        <v>David Thomas</v>
      </c>
      <c r="C11" s="9">
        <f>SUMIF(Dataset!$A:$A,A11,Dataset!$E:$E)</f>
        <v>4259.22</v>
      </c>
      <c r="D11" s="9">
        <f t="shared" si="0"/>
        <v>24</v>
      </c>
      <c r="E11" t="str">
        <f t="shared" si="1"/>
        <v/>
      </c>
      <c r="G11" t="str">
        <v>CUST024</v>
      </c>
      <c r="H11" t="str">
        <v>David Brown</v>
      </c>
      <c r="I11">
        <v>7583.1299999999992</v>
      </c>
    </row>
    <row r="12" spans="1:9" x14ac:dyDescent="0.2">
      <c r="A12" t="str">
        <v>CUST011</v>
      </c>
      <c r="B12" t="str">
        <f>_xlfn.XLOOKUP(A12,Dataset!A:A,Dataset!B:B,"Not Found")</f>
        <v>Mary Davis</v>
      </c>
      <c r="C12" s="9">
        <f>SUMIF(Dataset!$A:$A,A12,Dataset!$E:$E)</f>
        <v>3762.2900000000004</v>
      </c>
      <c r="D12" s="9">
        <f t="shared" si="0"/>
        <v>27</v>
      </c>
      <c r="E12" t="str">
        <f t="shared" si="1"/>
        <v/>
      </c>
      <c r="G12" t="str">
        <v>CUST014</v>
      </c>
      <c r="H12" t="str">
        <v>Emma Davis</v>
      </c>
      <c r="I12">
        <v>6729.8899999999994</v>
      </c>
    </row>
    <row r="13" spans="1:9" x14ac:dyDescent="0.2">
      <c r="A13" t="str">
        <v>CUST012</v>
      </c>
      <c r="B13" t="str">
        <f>_xlfn.XLOOKUP(A13,Dataset!A:A,Dataset!B:B,"Not Found")</f>
        <v>Robert Anderson</v>
      </c>
      <c r="C13" s="9">
        <f>SUMIF(Dataset!$A:$A,A13,Dataset!$E:$E)</f>
        <v>8339</v>
      </c>
      <c r="D13" s="9">
        <f t="shared" si="0"/>
        <v>8</v>
      </c>
      <c r="E13" t="str">
        <f t="shared" si="1"/>
        <v>TOP 10</v>
      </c>
      <c r="G13" t="str">
        <v>CUST025</v>
      </c>
      <c r="H13" t="str">
        <v>David Brown</v>
      </c>
      <c r="I13">
        <v>6716.52</v>
      </c>
    </row>
    <row r="14" spans="1:9" x14ac:dyDescent="0.2">
      <c r="A14" t="str">
        <v>CUST013</v>
      </c>
      <c r="B14" t="str">
        <f>_xlfn.XLOOKUP(A14,Dataset!A:A,Dataset!B:B,"Not Found")</f>
        <v>Robert Anderson</v>
      </c>
      <c r="C14" s="9">
        <f>SUMIF(Dataset!$A:$A,A14,Dataset!$E:$E)</f>
        <v>4162.4400000000005</v>
      </c>
      <c r="D14" s="9">
        <f t="shared" si="0"/>
        <v>25</v>
      </c>
      <c r="E14" t="str">
        <f t="shared" si="1"/>
        <v/>
      </c>
      <c r="G14" t="str">
        <v>CUST005</v>
      </c>
      <c r="H14" t="str">
        <v>Robert Anderson</v>
      </c>
      <c r="I14">
        <v>6666.130000000001</v>
      </c>
    </row>
    <row r="15" spans="1:9" x14ac:dyDescent="0.2">
      <c r="A15" t="str">
        <v>CUST014</v>
      </c>
      <c r="B15" t="str">
        <f>_xlfn.XLOOKUP(A15,Dataset!A:A,Dataset!B:B,"Not Found")</f>
        <v>Emma Davis</v>
      </c>
      <c r="C15" s="9">
        <f>SUMIF(Dataset!$A:$A,A15,Dataset!$E:$E)</f>
        <v>6729.8899999999994</v>
      </c>
      <c r="D15" s="9">
        <f t="shared" si="0"/>
        <v>12</v>
      </c>
      <c r="E15" t="str">
        <f t="shared" si="1"/>
        <v/>
      </c>
      <c r="G15" t="str">
        <v>CUST001</v>
      </c>
      <c r="H15" t="str">
        <v>Linda Wilson</v>
      </c>
      <c r="I15">
        <v>6549.55</v>
      </c>
    </row>
    <row r="16" spans="1:9" x14ac:dyDescent="0.2">
      <c r="A16" t="str">
        <v>CUST015</v>
      </c>
      <c r="B16" t="str">
        <f>_xlfn.XLOOKUP(A16,Dataset!A:A,Dataset!B:B,"Not Found")</f>
        <v>Linda Taylor</v>
      </c>
      <c r="C16" s="9">
        <f>SUMIF(Dataset!$A:$A,A16,Dataset!$E:$E)</f>
        <v>11611.060000000001</v>
      </c>
      <c r="D16" s="9">
        <f t="shared" si="0"/>
        <v>1</v>
      </c>
      <c r="E16" t="str">
        <f t="shared" si="1"/>
        <v>TOP 10</v>
      </c>
      <c r="G16" t="str">
        <v>CUST009</v>
      </c>
      <c r="H16" t="str">
        <v>Linda Jackson</v>
      </c>
      <c r="I16">
        <v>6505.2</v>
      </c>
    </row>
    <row r="17" spans="1:9" x14ac:dyDescent="0.2">
      <c r="A17" t="str">
        <v>CUST016</v>
      </c>
      <c r="B17" t="str">
        <f>_xlfn.XLOOKUP(A17,Dataset!A:A,Dataset!B:B,"Not Found")</f>
        <v>Emma Wilson</v>
      </c>
      <c r="C17" s="9">
        <f>SUMIF(Dataset!$A:$A,A17,Dataset!$E:$E)</f>
        <v>3369.17</v>
      </c>
      <c r="D17" s="9">
        <f t="shared" si="0"/>
        <v>29</v>
      </c>
      <c r="E17" t="str">
        <f t="shared" si="1"/>
        <v/>
      </c>
      <c r="G17" t="str">
        <v>CUST002</v>
      </c>
      <c r="H17" t="str">
        <v>Lisa Davis</v>
      </c>
      <c r="I17">
        <v>6481.43</v>
      </c>
    </row>
    <row r="18" spans="1:9" x14ac:dyDescent="0.2">
      <c r="A18" t="str">
        <v>CUST017</v>
      </c>
      <c r="B18" t="str">
        <f>_xlfn.XLOOKUP(A18,Dataset!A:A,Dataset!B:B,"Not Found")</f>
        <v>James Taylor</v>
      </c>
      <c r="C18" s="9">
        <f>SUMIF(Dataset!$A:$A,A18,Dataset!$E:$E)</f>
        <v>3419.2</v>
      </c>
      <c r="D18" s="9">
        <f t="shared" si="0"/>
        <v>28</v>
      </c>
      <c r="E18" t="str">
        <f t="shared" si="1"/>
        <v/>
      </c>
      <c r="G18" t="str">
        <v>CUST023</v>
      </c>
      <c r="H18" t="str">
        <v>Robert Anderson</v>
      </c>
      <c r="I18">
        <v>5913.68</v>
      </c>
    </row>
    <row r="19" spans="1:9" x14ac:dyDescent="0.2">
      <c r="A19" t="str">
        <v>CUST018</v>
      </c>
      <c r="B19" t="str">
        <f>_xlfn.XLOOKUP(A19,Dataset!A:A,Dataset!B:B,"Not Found")</f>
        <v>Mary Jackson</v>
      </c>
      <c r="C19" s="9">
        <f>SUMIF(Dataset!$A:$A,A19,Dataset!$E:$E)</f>
        <v>4951.8899999999994</v>
      </c>
      <c r="D19" s="9">
        <f t="shared" si="0"/>
        <v>20</v>
      </c>
      <c r="E19" t="str">
        <f t="shared" si="1"/>
        <v/>
      </c>
      <c r="G19" t="str">
        <v>CUST029</v>
      </c>
      <c r="H19" t="str">
        <v>David Smith</v>
      </c>
      <c r="I19">
        <v>5779.05</v>
      </c>
    </row>
    <row r="20" spans="1:9" x14ac:dyDescent="0.2">
      <c r="A20" t="str">
        <v>CUST019</v>
      </c>
      <c r="B20" t="str">
        <f>_xlfn.XLOOKUP(A20,Dataset!A:A,Dataset!B:B,"Not Found")</f>
        <v>James Davis</v>
      </c>
      <c r="C20" s="9">
        <f>SUMIF(Dataset!$A:$A,A20,Dataset!$E:$E)</f>
        <v>4640.1099999999997</v>
      </c>
      <c r="D20" s="9">
        <f t="shared" si="0"/>
        <v>21</v>
      </c>
      <c r="E20" t="str">
        <f t="shared" si="1"/>
        <v/>
      </c>
      <c r="G20" t="str">
        <v>CUST018</v>
      </c>
      <c r="H20" t="str">
        <v>Mary Jackson</v>
      </c>
      <c r="I20">
        <v>4951.8899999999994</v>
      </c>
    </row>
    <row r="21" spans="1:9" x14ac:dyDescent="0.2">
      <c r="A21" t="str">
        <v>CUST020</v>
      </c>
      <c r="B21" t="str">
        <f>_xlfn.XLOOKUP(A21,Dataset!A:A,Dataset!B:B,"Not Found")</f>
        <v>David Brown</v>
      </c>
      <c r="C21" s="9">
        <f>SUMIF(Dataset!$A:$A,A21,Dataset!$E:$E)</f>
        <v>4413.71</v>
      </c>
      <c r="D21" s="9">
        <f t="shared" si="0"/>
        <v>23</v>
      </c>
      <c r="E21" t="str">
        <f t="shared" si="1"/>
        <v/>
      </c>
      <c r="G21" t="str">
        <v>CUST019</v>
      </c>
      <c r="H21" t="str">
        <v>James Davis</v>
      </c>
      <c r="I21">
        <v>4640.1099999999997</v>
      </c>
    </row>
    <row r="22" spans="1:9" x14ac:dyDescent="0.2">
      <c r="A22" t="str">
        <v>CUST021</v>
      </c>
      <c r="B22" t="str">
        <f>_xlfn.XLOOKUP(A22,Dataset!A:A,Dataset!B:B,"Not Found")</f>
        <v>Sarah Anderson</v>
      </c>
      <c r="C22" s="9">
        <f>SUMIF(Dataset!$A:$A,A22,Dataset!$E:$E)</f>
        <v>8740.18</v>
      </c>
      <c r="D22" s="9">
        <f t="shared" si="0"/>
        <v>6</v>
      </c>
      <c r="E22" t="str">
        <f t="shared" si="1"/>
        <v>TOP 10</v>
      </c>
      <c r="G22" t="str">
        <v>CUST022</v>
      </c>
      <c r="H22" t="str">
        <v>Robert Anderson</v>
      </c>
      <c r="I22">
        <v>4418.2800000000007</v>
      </c>
    </row>
    <row r="23" spans="1:9" x14ac:dyDescent="0.2">
      <c r="A23" t="str">
        <v>CUST022</v>
      </c>
      <c r="B23" t="str">
        <f>_xlfn.XLOOKUP(A23,Dataset!A:A,Dataset!B:B,"Not Found")</f>
        <v>Robert Anderson</v>
      </c>
      <c r="C23" s="9">
        <f>SUMIF(Dataset!$A:$A,A23,Dataset!$E:$E)</f>
        <v>4418.2800000000007</v>
      </c>
      <c r="D23" s="9">
        <f t="shared" si="0"/>
        <v>22</v>
      </c>
      <c r="E23" t="str">
        <f t="shared" si="1"/>
        <v/>
      </c>
      <c r="G23" t="str">
        <v>CUST020</v>
      </c>
      <c r="H23" t="str">
        <v>David Brown</v>
      </c>
      <c r="I23">
        <v>4413.71</v>
      </c>
    </row>
    <row r="24" spans="1:9" x14ac:dyDescent="0.2">
      <c r="A24" t="str">
        <v>CUST023</v>
      </c>
      <c r="B24" t="str">
        <f>_xlfn.XLOOKUP(A24,Dataset!A:A,Dataset!B:B,"Not Found")</f>
        <v>Robert Anderson</v>
      </c>
      <c r="C24" s="9">
        <f>SUMIF(Dataset!$A:$A,A24,Dataset!$E:$E)</f>
        <v>5913.68</v>
      </c>
      <c r="D24" s="9">
        <f t="shared" si="0"/>
        <v>18</v>
      </c>
      <c r="E24" t="str">
        <f t="shared" si="1"/>
        <v/>
      </c>
      <c r="G24" t="str">
        <v>CUST010</v>
      </c>
      <c r="H24" t="str">
        <v>David Thomas</v>
      </c>
      <c r="I24">
        <v>4259.22</v>
      </c>
    </row>
    <row r="25" spans="1:9" x14ac:dyDescent="0.2">
      <c r="A25" t="str">
        <v>CUST024</v>
      </c>
      <c r="B25" t="str">
        <f>_xlfn.XLOOKUP(A25,Dataset!A:A,Dataset!B:B,"Not Found")</f>
        <v>David Brown</v>
      </c>
      <c r="C25" s="9">
        <f>SUMIF(Dataset!$A:$A,A25,Dataset!$E:$E)</f>
        <v>7583.1299999999992</v>
      </c>
      <c r="D25" s="9">
        <f t="shared" si="0"/>
        <v>11</v>
      </c>
      <c r="E25" t="str">
        <f t="shared" si="1"/>
        <v/>
      </c>
      <c r="G25" t="str">
        <v>CUST013</v>
      </c>
      <c r="H25" t="str">
        <v>Robert Anderson</v>
      </c>
      <c r="I25">
        <v>4162.4400000000005</v>
      </c>
    </row>
    <row r="26" spans="1:9" x14ac:dyDescent="0.2">
      <c r="A26" t="str">
        <v>CUST025</v>
      </c>
      <c r="B26" t="str">
        <f>_xlfn.XLOOKUP(A26,Dataset!A:A,Dataset!B:B,"Not Found")</f>
        <v>David Brown</v>
      </c>
      <c r="C26" s="9">
        <f>SUMIF(Dataset!$A:$A,A26,Dataset!$E:$E)</f>
        <v>6716.52</v>
      </c>
      <c r="D26" s="9">
        <f t="shared" si="0"/>
        <v>13</v>
      </c>
      <c r="E26" t="str">
        <f t="shared" si="1"/>
        <v/>
      </c>
      <c r="G26" t="str">
        <v>CUST027</v>
      </c>
      <c r="H26" t="str">
        <v>Emma Davis</v>
      </c>
      <c r="I26">
        <v>3906.04</v>
      </c>
    </row>
    <row r="27" spans="1:9" x14ac:dyDescent="0.2">
      <c r="A27" t="str">
        <v>CUST026</v>
      </c>
      <c r="B27" t="str">
        <f>_xlfn.XLOOKUP(A27,Dataset!A:A,Dataset!B:B,"Not Found")</f>
        <v>Mary Davis</v>
      </c>
      <c r="C27" s="9">
        <f>SUMIF(Dataset!$A:$A,A27,Dataset!$E:$E)</f>
        <v>9371.81</v>
      </c>
      <c r="D27" s="9">
        <f t="shared" si="0"/>
        <v>5</v>
      </c>
      <c r="E27" t="str">
        <f t="shared" si="1"/>
        <v>TOP 10</v>
      </c>
      <c r="G27" t="str">
        <v>CUST011</v>
      </c>
      <c r="H27" t="str">
        <v>Mary Davis</v>
      </c>
      <c r="I27">
        <v>3762.2900000000004</v>
      </c>
    </row>
    <row r="28" spans="1:9" x14ac:dyDescent="0.2">
      <c r="A28" t="str">
        <v>CUST027</v>
      </c>
      <c r="B28" t="str">
        <f>_xlfn.XLOOKUP(A28,Dataset!A:A,Dataset!B:B,"Not Found")</f>
        <v>Emma Davis</v>
      </c>
      <c r="C28" s="9">
        <f>SUMIF(Dataset!$A:$A,A28,Dataset!$E:$E)</f>
        <v>3906.04</v>
      </c>
      <c r="D28" s="9">
        <f t="shared" si="0"/>
        <v>26</v>
      </c>
      <c r="E28" t="str">
        <f t="shared" si="1"/>
        <v/>
      </c>
      <c r="G28" t="str">
        <v>CUST017</v>
      </c>
      <c r="H28" t="str">
        <v>James Taylor</v>
      </c>
      <c r="I28">
        <v>3419.2</v>
      </c>
    </row>
    <row r="29" spans="1:9" x14ac:dyDescent="0.2">
      <c r="A29" t="str">
        <v>CUST028</v>
      </c>
      <c r="B29" t="str">
        <f>_xlfn.XLOOKUP(A29,Dataset!A:A,Dataset!B:B,"Not Found")</f>
        <v>Linda Taylor</v>
      </c>
      <c r="C29" s="9">
        <f>SUMIF(Dataset!$A:$A,A29,Dataset!$E:$E)</f>
        <v>10293.870000000001</v>
      </c>
      <c r="D29" s="9">
        <f t="shared" si="0"/>
        <v>2</v>
      </c>
      <c r="E29" t="str">
        <f t="shared" si="1"/>
        <v>TOP 10</v>
      </c>
      <c r="G29" t="str">
        <v>CUST016</v>
      </c>
      <c r="H29" t="str">
        <v>Emma Wilson</v>
      </c>
      <c r="I29">
        <v>3369.17</v>
      </c>
    </row>
    <row r="30" spans="1:9" x14ac:dyDescent="0.2">
      <c r="A30" t="str">
        <v>CUST029</v>
      </c>
      <c r="B30" t="str">
        <f>_xlfn.XLOOKUP(A30,Dataset!A:A,Dataset!B:B,"Not Found")</f>
        <v>David Smith</v>
      </c>
      <c r="C30" s="9">
        <f>SUMIF(Dataset!$A:$A,A30,Dataset!$E:$E)</f>
        <v>5779.05</v>
      </c>
      <c r="D30" s="9">
        <f t="shared" si="0"/>
        <v>19</v>
      </c>
      <c r="E30" t="str">
        <f t="shared" si="1"/>
        <v/>
      </c>
      <c r="G30" t="str">
        <v>CUST006</v>
      </c>
      <c r="H30" t="str">
        <v>Mary Jackson</v>
      </c>
      <c r="I30">
        <v>2699.75</v>
      </c>
    </row>
    <row r="31" spans="1:9" x14ac:dyDescent="0.2">
      <c r="A31" t="str">
        <v>CUST030</v>
      </c>
      <c r="B31" t="str">
        <f>_xlfn.XLOOKUP(A31,Dataset!A:A,Dataset!B:B,"Not Found")</f>
        <v>James Wilson</v>
      </c>
      <c r="C31" s="9">
        <f>SUMIF(Dataset!$A:$A,A31,Dataset!$E:$E)</f>
        <v>7928.71</v>
      </c>
      <c r="D31" s="9">
        <f t="shared" si="0"/>
        <v>9</v>
      </c>
      <c r="E31" t="str">
        <f t="shared" si="1"/>
        <v>TOP 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1867C-9F8C-D54A-BD50-884F06777A7D}">
  <dimension ref="A1:P5"/>
  <sheetViews>
    <sheetView tabSelected="1" workbookViewId="0">
      <selection activeCell="P31" sqref="P31"/>
    </sheetView>
  </sheetViews>
  <sheetFormatPr baseColWidth="10" defaultRowHeight="15" x14ac:dyDescent="0.2"/>
  <cols>
    <col min="4" max="4" width="12.6640625" customWidth="1"/>
  </cols>
  <sheetData>
    <row r="1" spans="1:16" x14ac:dyDescent="0.2">
      <c r="A1" s="4" t="s">
        <v>125</v>
      </c>
      <c r="B1" s="4" t="s">
        <v>123</v>
      </c>
      <c r="C1" s="4" t="s">
        <v>126</v>
      </c>
      <c r="D1" s="4" t="s">
        <v>127</v>
      </c>
      <c r="F1" s="4"/>
      <c r="G1" s="4" t="s">
        <v>125</v>
      </c>
      <c r="H1" s="4" t="s">
        <v>126</v>
      </c>
      <c r="I1" s="4"/>
      <c r="O1" s="4" t="s">
        <v>125</v>
      </c>
      <c r="P1" s="4" t="s">
        <v>127</v>
      </c>
    </row>
    <row r="2" spans="1:16" x14ac:dyDescent="0.2">
      <c r="A2" s="4" t="s">
        <v>128</v>
      </c>
      <c r="B2">
        <f>SUMIF(Dataset!$C$2:$C$201,A2,Dataset!$E$2:$E$201)</f>
        <v>32441.64</v>
      </c>
      <c r="C2" s="4">
        <f>SUMIF(Dataset!$C$2:$C$201,A2,Dataset!$I$2:$I$201)</f>
        <v>11638.589999999997</v>
      </c>
      <c r="D2">
        <f>SUMIF(Dataset!$C$2:$C$201,A2,Dataset!$F$2:$F$201)</f>
        <v>374</v>
      </c>
      <c r="F2" s="4"/>
      <c r="G2" s="4" t="s">
        <v>128</v>
      </c>
      <c r="H2" s="4">
        <f>SUMIF(Dataset!$C$2:$C$201,G2,Dataset!$I$2:$I$201)</f>
        <v>11638.589999999997</v>
      </c>
      <c r="O2" s="4" t="s">
        <v>128</v>
      </c>
      <c r="P2">
        <f>SUMIF(Dataset!$C$2:$C$201,O2,Dataset!$F$2:$F$201)</f>
        <v>374</v>
      </c>
    </row>
    <row r="3" spans="1:16" x14ac:dyDescent="0.2">
      <c r="A3" s="4" t="s">
        <v>131</v>
      </c>
      <c r="B3">
        <f>SUMIF(Dataset!$C$2:$C$201,A3,Dataset!$E$2:$E$201)</f>
        <v>44083.58</v>
      </c>
      <c r="C3" s="4">
        <f>SUMIF(Dataset!$C$2:$C$201,A3,Dataset!$I$2:$I$201)</f>
        <v>14985.830000000002</v>
      </c>
      <c r="D3">
        <f>SUMIF(Dataset!$C$2:$C$201,A3,Dataset!$F$2:$F$201)</f>
        <v>458</v>
      </c>
      <c r="F3" s="4"/>
      <c r="G3" s="4" t="s">
        <v>131</v>
      </c>
      <c r="H3" s="4">
        <f>SUMIF(Dataset!$C$2:$C$201,G3,Dataset!$I$2:$I$201)</f>
        <v>14985.830000000002</v>
      </c>
      <c r="O3" s="4" t="s">
        <v>131</v>
      </c>
      <c r="P3">
        <f>SUMIF(Dataset!$C$2:$C$201,O3,Dataset!$F$2:$F$201)</f>
        <v>458</v>
      </c>
    </row>
    <row r="4" spans="1:16" x14ac:dyDescent="0.2">
      <c r="A4" s="4" t="s">
        <v>129</v>
      </c>
      <c r="B4">
        <f>SUMIF(Dataset!$C$2:$C$201,A4,Dataset!$E$2:$E$201)</f>
        <v>34975.42</v>
      </c>
      <c r="C4" s="4">
        <f>SUMIF(Dataset!$C$2:$C$201,A4,Dataset!$I$2:$I$201)</f>
        <v>11902.279999999997</v>
      </c>
      <c r="D4">
        <f>SUMIF(Dataset!$C$2:$C$201,A4,Dataset!$F$2:$F$201)</f>
        <v>383</v>
      </c>
      <c r="F4" s="4"/>
      <c r="G4" s="4" t="s">
        <v>129</v>
      </c>
      <c r="H4" s="4">
        <f>SUMIF(Dataset!$C$2:$C$201,G4,Dataset!$I$2:$I$201)</f>
        <v>11902.279999999997</v>
      </c>
      <c r="O4" s="4" t="s">
        <v>129</v>
      </c>
      <c r="P4">
        <f>SUMIF(Dataset!$C$2:$C$201,O4,Dataset!$F$2:$F$201)</f>
        <v>383</v>
      </c>
    </row>
    <row r="5" spans="1:16" x14ac:dyDescent="0.2">
      <c r="A5" s="4" t="s">
        <v>130</v>
      </c>
      <c r="B5">
        <f>SUMIF(Dataset!$C$2:$C$201,A5,Dataset!$E$2:$E$201)</f>
        <v>40248.79</v>
      </c>
      <c r="C5" s="4">
        <f>SUMIF(Dataset!$C$2:$C$201,A5,Dataset!$I$2:$I$201)</f>
        <v>13691.910000000003</v>
      </c>
      <c r="D5">
        <f>SUMIF(Dataset!$C$2:$C$201,A5,Dataset!$F$2:$F$201)</f>
        <v>374</v>
      </c>
      <c r="F5" s="4"/>
      <c r="G5" s="4" t="s">
        <v>130</v>
      </c>
      <c r="H5" s="4">
        <f>SUMIF(Dataset!$C$2:$C$201,G5,Dataset!$I$2:$I$201)</f>
        <v>13691.910000000003</v>
      </c>
      <c r="O5" s="4" t="s">
        <v>130</v>
      </c>
      <c r="P5">
        <f>SUMIF(Dataset!$C$2:$C$201,O5,Dataset!$F$2:$F$201)</f>
        <v>374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0B6A9-082F-5642-A11C-95F1E6267BB3}">
  <dimension ref="A1:C7"/>
  <sheetViews>
    <sheetView workbookViewId="0">
      <selection activeCell="B2" sqref="B2:B7"/>
    </sheetView>
  </sheetViews>
  <sheetFormatPr baseColWidth="10" defaultRowHeight="15" x14ac:dyDescent="0.2"/>
  <sheetData>
    <row r="1" spans="1:3" x14ac:dyDescent="0.2">
      <c r="A1" s="4" t="s">
        <v>82</v>
      </c>
      <c r="B1" s="4" t="s">
        <v>83</v>
      </c>
      <c r="C1" s="4" t="s">
        <v>84</v>
      </c>
    </row>
    <row r="2" spans="1:3" x14ac:dyDescent="0.2">
      <c r="A2" s="10">
        <v>0</v>
      </c>
      <c r="B2">
        <f>SUM(Dataset!$E$2:$E$201)</f>
        <v>195217.75999999992</v>
      </c>
      <c r="C2" cm="1">
        <f t="array" ref="C2">SUM(Dataset!$I$2:$I$201)+SUMPRODUCT(Dataset!$E$2:$E$201,$G$2:$G$201-A2)</f>
        <v>68287.010000000009</v>
      </c>
    </row>
    <row r="3" spans="1:3" x14ac:dyDescent="0.2">
      <c r="A3" s="10">
        <v>0.05</v>
      </c>
      <c r="B3">
        <f>SUM(Dataset!$E$2:$E$201)</f>
        <v>195217.75999999992</v>
      </c>
      <c r="C3" cm="1">
        <f t="array" ref="C3">SUM(Dataset!$I$2:$I$201)+SUMPRODUCT(Dataset!$E$2:$E$201,$G$2:$G$201-A3)</f>
        <v>58526.12200000001</v>
      </c>
    </row>
    <row r="4" spans="1:3" x14ac:dyDescent="0.2">
      <c r="A4" s="10">
        <v>0.1</v>
      </c>
      <c r="B4">
        <f>SUM(Dataset!$E$2:$E$201)</f>
        <v>195217.75999999992</v>
      </c>
      <c r="C4" cm="1">
        <f t="array" ref="C4">SUM(Dataset!$I$2:$I$201)+SUMPRODUCT(Dataset!$E$2:$E$201,$G$2:$G$201-A4)</f>
        <v>48765.234000000011</v>
      </c>
    </row>
    <row r="5" spans="1:3" x14ac:dyDescent="0.2">
      <c r="A5" s="10">
        <v>0.15</v>
      </c>
      <c r="B5">
        <f>SUM(Dataset!$E$2:$E$201)</f>
        <v>195217.75999999992</v>
      </c>
      <c r="C5" cm="1">
        <f t="array" ref="C5">SUM(Dataset!$I$2:$I$201)+SUMPRODUCT(Dataset!$E$2:$E$201,$G$2:$G$201-A5)</f>
        <v>39004.346000000005</v>
      </c>
    </row>
    <row r="6" spans="1:3" x14ac:dyDescent="0.2">
      <c r="A6" s="10">
        <v>0.2</v>
      </c>
      <c r="B6">
        <f>SUM(Dataset!$E$2:$E$201)</f>
        <v>195217.75999999992</v>
      </c>
      <c r="C6" cm="1">
        <f t="array" ref="C6">SUM(Dataset!$I$2:$I$201)+SUMPRODUCT(Dataset!$E$2:$E$201,$G$2:$G$201-A6)</f>
        <v>29243.458000000021</v>
      </c>
    </row>
    <row r="7" spans="1:3" x14ac:dyDescent="0.2">
      <c r="A7" s="10">
        <v>0.25</v>
      </c>
      <c r="B7">
        <f>SUM(Dataset!$E$2:$E$201)</f>
        <v>195217.75999999992</v>
      </c>
      <c r="C7" cm="1">
        <f t="array" ref="C7">SUM(Dataset!$I$2:$I$201)+SUMPRODUCT(Dataset!$E$2:$E$201,$G$2:$G$201-A7)</f>
        <v>19482.570000000029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FF446-4751-DD45-BFA4-A704AE9A8F91}">
  <dimension ref="A1:A2"/>
  <sheetViews>
    <sheetView zoomScale="99" workbookViewId="0">
      <selection activeCell="A2" sqref="A2"/>
    </sheetView>
  </sheetViews>
  <sheetFormatPr baseColWidth="10" defaultRowHeight="15" x14ac:dyDescent="0.2"/>
  <cols>
    <col min="1" max="1" width="21.5" customWidth="1"/>
  </cols>
  <sheetData>
    <row r="1" spans="1:1" x14ac:dyDescent="0.2">
      <c r="A1" s="4" t="s">
        <v>121</v>
      </c>
    </row>
    <row r="2" spans="1:1" x14ac:dyDescent="0.2">
      <c r="A2" s="15">
        <f ca="1">NOW()</f>
        <v>46310.515470254628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FCC72-9B65-9D43-9318-8A359D446B03}">
  <dimension ref="A1:C4"/>
  <sheetViews>
    <sheetView workbookViewId="0">
      <selection activeCell="C3" sqref="C3:C4"/>
    </sheetView>
  </sheetViews>
  <sheetFormatPr baseColWidth="10" defaultRowHeight="15" x14ac:dyDescent="0.2"/>
  <cols>
    <col min="1" max="1" width="20.1640625" customWidth="1"/>
    <col min="2" max="2" width="21.1640625" customWidth="1"/>
    <col min="3" max="3" width="20.6640625" customWidth="1"/>
  </cols>
  <sheetData>
    <row r="1" spans="1:3" x14ac:dyDescent="0.2">
      <c r="A1" s="4" t="s">
        <v>122</v>
      </c>
      <c r="B1" s="4" t="s">
        <v>123</v>
      </c>
      <c r="C1" s="4" t="s">
        <v>124</v>
      </c>
    </row>
    <row r="2" spans="1:3" x14ac:dyDescent="0.2">
      <c r="A2" s="16">
        <v>45383</v>
      </c>
      <c r="B2">
        <f>SUMIFS(Dataset!$E$2:$E$201,Dataset!$H$2:$H$201,"&gt;="&amp;A2,Dataset!$H$2:$H$201,"&lt;"&amp;EDATE(A2,1))</f>
        <v>19029.96</v>
      </c>
    </row>
    <row r="3" spans="1:3" x14ac:dyDescent="0.2">
      <c r="A3" s="16">
        <v>45413</v>
      </c>
      <c r="B3">
        <f>SUMIFS(Dataset!$E$2:$E$201,Dataset!$H$2:$H$201,"&gt;="&amp;A3,Dataset!$H$2:$H$201,"&lt;"&amp;EDATE(A3,1))</f>
        <v>18507.339999999997</v>
      </c>
      <c r="C3" s="17">
        <f>(B3-B2)/B2</f>
        <v>-2.7463010957458799E-2</v>
      </c>
    </row>
    <row r="4" spans="1:3" x14ac:dyDescent="0.2">
      <c r="A4" s="16">
        <v>45444</v>
      </c>
      <c r="B4">
        <f>SUMIFS(Dataset!$E$2:$E$201,Dataset!$H$2:$H$201,"&gt;="&amp;A4,Dataset!$H$2:$H$201,"&lt;"&amp;EDATE(A4,1))</f>
        <v>20187.509999999998</v>
      </c>
      <c r="C4" s="17">
        <f>(B4-B3)/B3</f>
        <v>9.0783980842195702E-2</v>
      </c>
    </row>
  </sheetData>
  <conditionalFormatting sqref="C3:C4">
    <cfRule type="iconSet" priority="1">
      <iconSet iconSet="3Arrows">
        <cfvo type="percent" val="0"/>
        <cfvo type="percent" val="33"/>
        <cfvo type="percent" val="67"/>
      </iconSet>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Project Instructions</vt:lpstr>
      <vt:lpstr>regression</vt:lpstr>
      <vt:lpstr>sales statistics</vt:lpstr>
      <vt:lpstr>profit analysis</vt:lpstr>
      <vt:lpstr>Dataset</vt:lpstr>
      <vt:lpstr>customer analysis</vt:lpstr>
      <vt:lpstr>region analysis</vt:lpstr>
      <vt:lpstr>Sheet2</vt:lpstr>
      <vt:lpstr>timestamp</vt:lpstr>
      <vt:lpstr>monthly sales 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Krisha tandel</cp:lastModifiedBy>
  <dcterms:created xsi:type="dcterms:W3CDTF">2026-10-15T06:52:16Z</dcterms:created>
  <dcterms:modified xsi:type="dcterms:W3CDTF">2026-10-15T06:52:18Z</dcterms:modified>
</cp:coreProperties>
</file>